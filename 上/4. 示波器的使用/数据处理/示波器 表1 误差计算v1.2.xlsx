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4. 示波器的使用\数据处理\"/>
    </mc:Choice>
  </mc:AlternateContent>
  <xr:revisionPtr revIDLastSave="0" documentId="13_ncr:1_{2008E52B-9647-47D9-9506-3FB2320387B0}" xr6:coauthVersionLast="47" xr6:coauthVersionMax="47" xr10:uidLastSave="{00000000-0000-0000-0000-000000000000}"/>
  <bookViews>
    <workbookView xWindow="-108" yWindow="-108" windowWidth="23256" windowHeight="13896" xr2:uid="{75186C61-4310-4D21-860E-A53C3904D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T20" i="1" s="1"/>
  <c r="G21" i="1"/>
  <c r="T21" i="1" s="1"/>
  <c r="G19" i="1"/>
  <c r="T19" i="1" s="1"/>
  <c r="E20" i="1"/>
  <c r="E21" i="1"/>
  <c r="E19" i="1"/>
  <c r="N19" i="1" s="1"/>
  <c r="R19" i="1"/>
  <c r="N20" i="1"/>
  <c r="N21" i="1"/>
  <c r="R20" i="1" l="1"/>
  <c r="R21" i="1"/>
  <c r="L20" i="1" l="1"/>
  <c r="L21" i="1"/>
  <c r="L19" i="1"/>
  <c r="C20" i="1"/>
  <c r="C21" i="1"/>
  <c r="C19" i="1"/>
  <c r="H10" i="1"/>
  <c r="B20" i="1" s="1"/>
  <c r="D20" i="1" s="1"/>
  <c r="I10" i="1"/>
  <c r="H11" i="1"/>
  <c r="B21" i="1" s="1"/>
  <c r="D21" i="1" s="1"/>
  <c r="I11" i="1"/>
  <c r="I9" i="1"/>
  <c r="H9" i="1"/>
  <c r="B19" i="1" s="1"/>
  <c r="D19" i="1" s="1"/>
  <c r="F21" i="1" l="1"/>
  <c r="F19" i="1"/>
  <c r="F20" i="1"/>
  <c r="E23" i="1"/>
  <c r="D23" i="1"/>
  <c r="G23" i="1" l="1"/>
  <c r="F23" i="1"/>
</calcChain>
</file>

<file path=xl/sharedStrings.xml><?xml version="1.0" encoding="utf-8"?>
<sst xmlns="http://schemas.openxmlformats.org/spreadsheetml/2006/main" count="67" uniqueCount="50">
  <si>
    <t>序号</t>
    <phoneticPr fontId="2" type="noConversion"/>
  </si>
  <si>
    <t>自行填写</t>
    <phoneticPr fontId="2" type="noConversion"/>
  </si>
  <si>
    <t>自动计算</t>
    <phoneticPr fontId="2" type="noConversion"/>
  </si>
  <si>
    <t>序号1</t>
    <phoneticPr fontId="2" type="noConversion"/>
  </si>
  <si>
    <t>序号2</t>
  </si>
  <si>
    <t>序号3</t>
  </si>
  <si>
    <t>测量Vp-p/V</t>
    <phoneticPr fontId="2" type="noConversion"/>
  </si>
  <si>
    <t>垂直偏转系数
(V/div)</t>
    <phoneticPr fontId="2" type="noConversion"/>
  </si>
  <si>
    <t>Y
(div)</t>
    <phoneticPr fontId="2" type="noConversion"/>
  </si>
  <si>
    <t>水平偏转系数
(ms/div)</t>
    <phoneticPr fontId="2" type="noConversion"/>
  </si>
  <si>
    <t>X
(div)</t>
    <phoneticPr fontId="2" type="noConversion"/>
  </si>
  <si>
    <t>测量Vp-p
(V)</t>
    <phoneticPr fontId="2" type="noConversion"/>
  </si>
  <si>
    <t>测量周期T
(ms)</t>
    <phoneticPr fontId="2" type="noConversion"/>
  </si>
  <si>
    <t>电压百分误差</t>
    <phoneticPr fontId="2" type="noConversion"/>
  </si>
  <si>
    <t>平均值</t>
    <phoneticPr fontId="2" type="noConversion"/>
  </si>
  <si>
    <t>电压绝对误差(V)</t>
    <phoneticPr fontId="2" type="noConversion"/>
  </si>
  <si>
    <t>务必给出公式，计算过程，百分误差及误差分析！</t>
    <phoneticPr fontId="2" type="noConversion"/>
  </si>
  <si>
    <t>本部分请参考ppt第13、20页，根据上面要求标准书写！</t>
    <phoneticPr fontId="2" type="noConversion"/>
  </si>
  <si>
    <t>【说明】</t>
    <phoneticPr fontId="2" type="noConversion"/>
  </si>
  <si>
    <t>↑本列不用记↑</t>
    <phoneticPr fontId="2" type="noConversion"/>
  </si>
  <si>
    <t>↓本列不用记↓</t>
    <phoneticPr fontId="2" type="noConversion"/>
  </si>
  <si>
    <t>周期绝对误差(ms)</t>
    <phoneticPr fontId="2" type="noConversion"/>
  </si>
  <si>
    <t>周期百分误差</t>
    <phoneticPr fontId="2" type="noConversion"/>
  </si>
  <si>
    <t>三位有效数字</t>
    <phoneticPr fontId="2" type="noConversion"/>
  </si>
  <si>
    <t>三位,估一位</t>
    <phoneticPr fontId="2" type="noConversion"/>
  </si>
  <si>
    <t>发生器电压幅度
Up-p(V)</t>
    <phoneticPr fontId="2" type="noConversion"/>
  </si>
  <si>
    <t>(本列是引用)</t>
    <phoneticPr fontId="2" type="noConversion"/>
  </si>
  <si>
    <r>
      <t>发生器频率
(</t>
    </r>
    <r>
      <rPr>
        <b/>
        <i/>
        <sz val="20"/>
        <color rgb="FFFF0000"/>
        <rFont val="宋体"/>
        <family val="3"/>
        <charset val="134"/>
      </rPr>
      <t>k</t>
    </r>
    <r>
      <rPr>
        <sz val="14"/>
        <color rgb="FFFF0000"/>
        <rFont val="宋体"/>
        <family val="3"/>
        <charset val="134"/>
      </rPr>
      <t>Hz</t>
    </r>
    <r>
      <rPr>
        <sz val="11"/>
        <color theme="1"/>
        <rFont val="宋体"/>
        <family val="2"/>
        <charset val="134"/>
      </rPr>
      <t>)</t>
    </r>
    <phoneticPr fontId="2" type="noConversion"/>
  </si>
  <si>
    <t>序号1：</t>
    <phoneticPr fontId="2" type="noConversion"/>
  </si>
  <si>
    <t>序号2：</t>
  </si>
  <si>
    <t>序号3：</t>
  </si>
  <si>
    <t>→→→</t>
    <phoneticPr fontId="2" type="noConversion"/>
  </si>
  <si>
    <t>Vpp =</t>
    <phoneticPr fontId="2" type="noConversion"/>
  </si>
  <si>
    <t>T =</t>
    <phoneticPr fontId="2" type="noConversion"/>
  </si>
  <si>
    <t>,</t>
    <phoneticPr fontId="2" type="noConversion"/>
  </si>
  <si>
    <t>====================【以下内容自动计算】====================</t>
    <phoneticPr fontId="2" type="noConversion"/>
  </si>
  <si>
    <t>说明：仅供参考，数据、进位等有误概不负责。未明确标注留多少位有效数字的自行判断。</t>
    <phoneticPr fontId="2" type="noConversion"/>
  </si>
  <si>
    <t>结果表达：</t>
    <phoneticPr fontId="2" type="noConversion"/>
  </si>
  <si>
    <t>Last Updated:</t>
    <phoneticPr fontId="2" type="noConversion"/>
  </si>
  <si>
    <t>制作：</t>
    <phoneticPr fontId="10" type="noConversion"/>
  </si>
  <si>
    <t>机械学院 24级 momooo</t>
    <phoneticPr fontId="2" type="noConversion"/>
  </si>
  <si>
    <t>) V</t>
    <phoneticPr fontId="2" type="noConversion"/>
  </si>
  <si>
    <t>) ms</t>
    <phoneticPr fontId="2" type="noConversion"/>
  </si>
  <si>
    <t>Vpp = (</t>
    <phoneticPr fontId="2" type="noConversion"/>
  </si>
  <si>
    <t>( 1 ±</t>
  </si>
  <si>
    <t>( 1 ±</t>
    <phoneticPr fontId="2" type="noConversion"/>
  </si>
  <si>
    <t>2025.3.16  9:12</t>
    <phoneticPr fontId="2" type="noConversion"/>
  </si>
  <si>
    <r>
      <rPr>
        <b/>
        <sz val="11"/>
        <color rgb="FFFF0000"/>
        <rFont val="宋体"/>
        <family val="3"/>
        <charset val="134"/>
      </rPr>
      <t>发生器</t>
    </r>
    <r>
      <rPr>
        <sz val="11"/>
        <color theme="1"/>
        <rFont val="宋体"/>
        <family val="2"/>
        <charset val="134"/>
      </rPr>
      <t>周期T0/ms</t>
    </r>
    <phoneticPr fontId="2" type="noConversion"/>
  </si>
  <si>
    <r>
      <t>下方有效数字位数基本上都检查过了</t>
    </r>
    <r>
      <rPr>
        <b/>
        <sz val="16"/>
        <color rgb="FFFF0000"/>
        <rFont val="宋体"/>
        <family val="3"/>
        <charset val="134"/>
      </rPr>
      <t>，但计算时请务必再次检查！！</t>
    </r>
    <phoneticPr fontId="2" type="noConversion"/>
  </si>
  <si>
    <t>v1.2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</si>
</sst>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00000"/>
    <numFmt numFmtId="178" formatCode="0.000000"/>
    <numFmt numFmtId="179" formatCode="0.0000000000"/>
  </numFmts>
  <fonts count="14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b/>
      <sz val="18"/>
      <color rgb="FFFF0000"/>
      <name val="宋体"/>
      <family val="3"/>
      <charset val="134"/>
    </font>
    <font>
      <b/>
      <sz val="16"/>
      <color theme="0"/>
      <name val="宋体"/>
      <family val="3"/>
      <charset val="134"/>
    </font>
    <font>
      <sz val="11"/>
      <color theme="0"/>
      <name val="宋体"/>
      <family val="3"/>
      <charset val="134"/>
    </font>
    <font>
      <sz val="14"/>
      <color rgb="FFFF0000"/>
      <name val="宋体"/>
      <family val="3"/>
      <charset val="134"/>
    </font>
    <font>
      <b/>
      <sz val="16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i/>
      <sz val="20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6"/>
      <color rgb="FFFF0000"/>
      <name val="宋体"/>
      <family val="3"/>
      <charset val="134"/>
    </font>
    <font>
      <b/>
      <sz val="14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10" fontId="0" fillId="2" borderId="4" xfId="0" applyNumberFormat="1" applyFill="1" applyBorder="1">
      <alignment vertical="center"/>
    </xf>
    <xf numFmtId="0" fontId="0" fillId="0" borderId="6" xfId="0" applyBorder="1">
      <alignment vertical="center"/>
    </xf>
    <xf numFmtId="10" fontId="0" fillId="2" borderId="7" xfId="1" applyNumberFormat="1" applyFont="1" applyFill="1" applyBorder="1">
      <alignment vertical="center"/>
    </xf>
    <xf numFmtId="0" fontId="0" fillId="0" borderId="8" xfId="0" applyBorder="1">
      <alignment vertical="center"/>
    </xf>
    <xf numFmtId="10" fontId="0" fillId="2" borderId="10" xfId="1" applyNumberFormat="1" applyFont="1" applyFill="1" applyBorder="1">
      <alignment vertical="center"/>
    </xf>
    <xf numFmtId="0" fontId="0" fillId="2" borderId="7" xfId="0" applyFill="1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/>
    </xf>
    <xf numFmtId="2" fontId="0" fillId="0" borderId="5" xfId="0" applyNumberFormat="1" applyBorder="1">
      <alignment vertical="center"/>
    </xf>
    <xf numFmtId="2" fontId="0" fillId="0" borderId="6" xfId="0" applyNumberFormat="1" applyBorder="1">
      <alignment vertical="center"/>
    </xf>
    <xf numFmtId="2" fontId="0" fillId="0" borderId="8" xfId="0" applyNumberFormat="1" applyBorder="1">
      <alignment vertical="center"/>
    </xf>
    <xf numFmtId="2" fontId="0" fillId="0" borderId="0" xfId="0" applyNumberFormat="1">
      <alignment vertical="center"/>
    </xf>
    <xf numFmtId="176" fontId="0" fillId="0" borderId="7" xfId="0" applyNumberFormat="1" applyBorder="1">
      <alignment vertical="center"/>
    </xf>
    <xf numFmtId="2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2" borderId="3" xfId="0" applyNumberFormat="1" applyFill="1" applyBorder="1">
      <alignment vertical="center"/>
    </xf>
    <xf numFmtId="0" fontId="8" fillId="2" borderId="3" xfId="0" applyFont="1" applyFill="1" applyBorder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177" fontId="0" fillId="4" borderId="0" xfId="0" applyNumberFormat="1" applyFill="1">
      <alignment vertical="center"/>
    </xf>
    <xf numFmtId="176" fontId="0" fillId="4" borderId="0" xfId="0" applyNumberFormat="1" applyFill="1">
      <alignment vertical="center"/>
    </xf>
    <xf numFmtId="0" fontId="0" fillId="4" borderId="0" xfId="0" applyFill="1">
      <alignment vertical="center"/>
    </xf>
    <xf numFmtId="2" fontId="0" fillId="4" borderId="0" xfId="0" applyNumberFormat="1" applyFill="1">
      <alignment vertical="center"/>
    </xf>
    <xf numFmtId="177" fontId="0" fillId="4" borderId="9" xfId="0" applyNumberFormat="1" applyFill="1" applyBorder="1">
      <alignment vertical="center"/>
    </xf>
    <xf numFmtId="176" fontId="0" fillId="4" borderId="9" xfId="0" applyNumberFormat="1" applyFill="1" applyBorder="1">
      <alignment vertical="center"/>
    </xf>
    <xf numFmtId="0" fontId="0" fillId="4" borderId="9" xfId="0" applyFill="1" applyBorder="1">
      <alignment vertical="center"/>
    </xf>
    <xf numFmtId="2" fontId="0" fillId="4" borderId="9" xfId="0" applyNumberFormat="1" applyFill="1" applyBorder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0" xfId="0" applyAlignment="1"/>
    <xf numFmtId="10" fontId="0" fillId="2" borderId="0" xfId="1" applyNumberFormat="1" applyFont="1" applyFill="1">
      <alignment vertical="center"/>
    </xf>
    <xf numFmtId="179" fontId="0" fillId="2" borderId="0" xfId="0" applyNumberFormat="1" applyFill="1">
      <alignment vertical="center"/>
    </xf>
    <xf numFmtId="179" fontId="0" fillId="2" borderId="10" xfId="0" applyNumberFormat="1" applyFill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8D09-9B19-45CB-BF3A-63BD6FC7001C}">
  <dimension ref="A1:U27"/>
  <sheetViews>
    <sheetView tabSelected="1" workbookViewId="0"/>
  </sheetViews>
  <sheetFormatPr defaultRowHeight="14.4" x14ac:dyDescent="0.25"/>
  <cols>
    <col min="1" max="1" width="6.5546875" customWidth="1"/>
    <col min="2" max="2" width="14.6640625" customWidth="1"/>
    <col min="3" max="3" width="16.5546875" customWidth="1"/>
    <col min="4" max="4" width="16" customWidth="1"/>
    <col min="5" max="5" width="13.44140625" customWidth="1"/>
    <col min="6" max="6" width="17.6640625" customWidth="1"/>
    <col min="7" max="7" width="13.77734375" customWidth="1"/>
    <col min="8" max="8" width="13" customWidth="1"/>
    <col min="9" max="9" width="12.44140625" customWidth="1"/>
    <col min="11" max="11" width="6.33203125" customWidth="1"/>
    <col min="12" max="12" width="7" customWidth="1"/>
    <col min="13" max="13" width="6.88671875" customWidth="1"/>
    <col min="14" max="14" width="6" customWidth="1"/>
    <col min="15" max="15" width="4.21875" customWidth="1"/>
    <col min="16" max="16" width="2.109375" customWidth="1"/>
    <col min="17" max="17" width="4.44140625" customWidth="1"/>
    <col min="18" max="18" width="6.5546875" customWidth="1"/>
    <col min="19" max="19" width="7.21875" customWidth="1"/>
    <col min="20" max="20" width="5.77734375" customWidth="1"/>
    <col min="21" max="21" width="6.21875" customWidth="1"/>
  </cols>
  <sheetData>
    <row r="1" spans="1:21" ht="17.399999999999999" x14ac:dyDescent="0.25">
      <c r="A1" s="57" t="s">
        <v>18</v>
      </c>
    </row>
    <row r="2" spans="1:21" ht="17.399999999999999" x14ac:dyDescent="0.25">
      <c r="A2" s="57" t="s">
        <v>17</v>
      </c>
      <c r="G2" t="s">
        <v>49</v>
      </c>
      <c r="H2" t="s">
        <v>36</v>
      </c>
    </row>
    <row r="3" spans="1:21" ht="17.399999999999999" x14ac:dyDescent="0.25">
      <c r="A3" s="57" t="s">
        <v>16</v>
      </c>
    </row>
    <row r="5" spans="1:21" ht="20.399999999999999" x14ac:dyDescent="0.25">
      <c r="B5" s="56" t="s">
        <v>48</v>
      </c>
    </row>
    <row r="7" spans="1:21" ht="22.2" x14ac:dyDescent="0.25">
      <c r="B7" s="49" t="s">
        <v>1</v>
      </c>
      <c r="C7" s="50"/>
      <c r="D7" s="50"/>
      <c r="E7" s="50"/>
      <c r="F7" s="50"/>
      <c r="G7" s="51"/>
      <c r="H7" s="52" t="s">
        <v>2</v>
      </c>
      <c r="I7" s="53"/>
    </row>
    <row r="8" spans="1:21" ht="42.6" customHeight="1" x14ac:dyDescent="0.25">
      <c r="A8" s="18" t="s">
        <v>0</v>
      </c>
      <c r="B8" s="41" t="s">
        <v>27</v>
      </c>
      <c r="C8" s="42" t="s">
        <v>25</v>
      </c>
      <c r="D8" s="42" t="s">
        <v>7</v>
      </c>
      <c r="E8" s="42" t="s">
        <v>8</v>
      </c>
      <c r="F8" s="42" t="s">
        <v>9</v>
      </c>
      <c r="G8" s="42" t="s">
        <v>10</v>
      </c>
      <c r="H8" s="19" t="s">
        <v>11</v>
      </c>
      <c r="I8" s="20" t="s">
        <v>12</v>
      </c>
    </row>
    <row r="9" spans="1:21" x14ac:dyDescent="0.25">
      <c r="A9" s="21">
        <v>1</v>
      </c>
      <c r="B9" s="33">
        <v>1.1100000000000001</v>
      </c>
      <c r="C9" s="34">
        <v>5.1100000000000003</v>
      </c>
      <c r="D9" s="35">
        <v>1</v>
      </c>
      <c r="E9" s="36">
        <v>5.2</v>
      </c>
      <c r="F9" s="35">
        <v>0.5</v>
      </c>
      <c r="G9" s="36">
        <v>1.8</v>
      </c>
      <c r="H9" s="14">
        <f>D9*E9</f>
        <v>5.2</v>
      </c>
      <c r="I9" s="15">
        <f>F9*G9</f>
        <v>0.9</v>
      </c>
    </row>
    <row r="10" spans="1:21" x14ac:dyDescent="0.25">
      <c r="A10" s="22">
        <v>2</v>
      </c>
      <c r="B10" s="33">
        <v>2.39</v>
      </c>
      <c r="C10" s="34">
        <v>3.35</v>
      </c>
      <c r="D10" s="35">
        <v>1</v>
      </c>
      <c r="E10" s="36">
        <v>3.4</v>
      </c>
      <c r="F10" s="35">
        <v>0.2</v>
      </c>
      <c r="G10" s="36">
        <v>2.1</v>
      </c>
      <c r="H10" s="14">
        <f t="shared" ref="H10:H11" si="0">D10*E10</f>
        <v>3.4</v>
      </c>
      <c r="I10" s="15">
        <f t="shared" ref="I10:I11" si="1">F10*G10</f>
        <v>0.42000000000000004</v>
      </c>
    </row>
    <row r="11" spans="1:21" x14ac:dyDescent="0.25">
      <c r="A11" s="23">
        <v>3</v>
      </c>
      <c r="B11" s="37">
        <v>3.03</v>
      </c>
      <c r="C11" s="38">
        <v>5.13</v>
      </c>
      <c r="D11" s="39">
        <v>1</v>
      </c>
      <c r="E11" s="40">
        <v>5.25</v>
      </c>
      <c r="F11" s="39">
        <v>0.1</v>
      </c>
      <c r="G11" s="40">
        <v>3.25</v>
      </c>
      <c r="H11" s="16">
        <f t="shared" si="0"/>
        <v>5.25</v>
      </c>
      <c r="I11" s="17">
        <f t="shared" si="1"/>
        <v>0.32500000000000001</v>
      </c>
    </row>
    <row r="12" spans="1:21" x14ac:dyDescent="0.25">
      <c r="E12" t="s">
        <v>24</v>
      </c>
      <c r="G12" t="s">
        <v>24</v>
      </c>
      <c r="H12" t="s">
        <v>23</v>
      </c>
      <c r="I12" t="s">
        <v>23</v>
      </c>
    </row>
    <row r="15" spans="1:21" ht="20.399999999999999" x14ac:dyDescent="0.25">
      <c r="B15" s="54" t="s">
        <v>35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</row>
    <row r="17" spans="1:21" x14ac:dyDescent="0.25">
      <c r="B17" s="28" t="s">
        <v>26</v>
      </c>
      <c r="D17" s="27" t="s">
        <v>20</v>
      </c>
      <c r="F17" s="28" t="s">
        <v>20</v>
      </c>
      <c r="R17" s="24"/>
    </row>
    <row r="18" spans="1:21" x14ac:dyDescent="0.25">
      <c r="A18" s="9"/>
      <c r="B18" s="7" t="s">
        <v>6</v>
      </c>
      <c r="C18" s="30" t="s">
        <v>47</v>
      </c>
      <c r="D18" s="9" t="s">
        <v>15</v>
      </c>
      <c r="E18" s="26" t="s">
        <v>13</v>
      </c>
      <c r="F18" s="9" t="s">
        <v>21</v>
      </c>
      <c r="G18" s="8" t="s">
        <v>22</v>
      </c>
      <c r="R18" s="25"/>
      <c r="T18" s="25"/>
    </row>
    <row r="19" spans="1:21" x14ac:dyDescent="0.25">
      <c r="A19" s="2" t="s">
        <v>3</v>
      </c>
      <c r="B19" s="11">
        <f>H9</f>
        <v>5.2</v>
      </c>
      <c r="C19" s="45">
        <f>1/(B9*1000)*1000</f>
        <v>0.90090090090090091</v>
      </c>
      <c r="D19" s="2">
        <f>ABS(B19-C9)</f>
        <v>8.9999999999999858E-2</v>
      </c>
      <c r="E19" s="3">
        <f>D19/C9</f>
        <v>1.7612524461839502E-2</v>
      </c>
      <c r="F19" s="47">
        <f>ABS(I9-C19)</f>
        <v>9.009009009008917E-4</v>
      </c>
      <c r="G19" s="3">
        <f>F19/C19</f>
        <v>9.9999999999998983E-4</v>
      </c>
      <c r="H19" s="24" t="s">
        <v>31</v>
      </c>
      <c r="I19" t="s">
        <v>37</v>
      </c>
      <c r="J19" t="s">
        <v>28</v>
      </c>
      <c r="K19" s="31" t="s">
        <v>43</v>
      </c>
      <c r="L19" s="32">
        <f>C9</f>
        <v>5.1100000000000003</v>
      </c>
      <c r="M19" s="31" t="s">
        <v>45</v>
      </c>
      <c r="N19" s="44">
        <f>E19</f>
        <v>1.7612524461839502E-2</v>
      </c>
      <c r="O19" s="32" t="s">
        <v>41</v>
      </c>
      <c r="P19" s="31" t="s">
        <v>34</v>
      </c>
      <c r="Q19" s="31" t="s">
        <v>33</v>
      </c>
      <c r="R19" s="32">
        <f>C19</f>
        <v>0.90090090090090091</v>
      </c>
      <c r="S19" s="31" t="s">
        <v>45</v>
      </c>
      <c r="T19" s="44">
        <f>G19</f>
        <v>9.9999999999998983E-4</v>
      </c>
      <c r="U19" s="31" t="s">
        <v>42</v>
      </c>
    </row>
    <row r="20" spans="1:21" x14ac:dyDescent="0.25">
      <c r="A20" s="2" t="s">
        <v>4</v>
      </c>
      <c r="B20" s="12">
        <f>H10</f>
        <v>3.4</v>
      </c>
      <c r="C20" s="45">
        <f t="shared" ref="C20:C21" si="2">1/(B10*1000)*1000</f>
        <v>0.41841004184100417</v>
      </c>
      <c r="D20" s="2">
        <f>ABS(B20-C10)</f>
        <v>4.9999999999999822E-2</v>
      </c>
      <c r="E20" s="3">
        <f t="shared" ref="E20:E21" si="3">D20/C10</f>
        <v>1.4925373134328304E-2</v>
      </c>
      <c r="F20" s="47">
        <f t="shared" ref="F20:F21" si="4">ABS(I10-C20)</f>
        <v>1.5899581589958744E-3</v>
      </c>
      <c r="G20" s="3">
        <f t="shared" ref="G20:G21" si="5">F20/C20</f>
        <v>3.8000000000001401E-3</v>
      </c>
      <c r="J20" t="s">
        <v>29</v>
      </c>
      <c r="K20" s="31" t="s">
        <v>32</v>
      </c>
      <c r="L20" s="32">
        <f t="shared" ref="L20:L21" si="6">C10</f>
        <v>3.35</v>
      </c>
      <c r="M20" s="31" t="s">
        <v>45</v>
      </c>
      <c r="N20" s="44">
        <f t="shared" ref="N20:N21" si="7">E20</f>
        <v>1.4925373134328304E-2</v>
      </c>
      <c r="O20" s="32" t="s">
        <v>41</v>
      </c>
      <c r="P20" s="31" t="s">
        <v>34</v>
      </c>
      <c r="Q20" s="31" t="s">
        <v>33</v>
      </c>
      <c r="R20" s="32">
        <f t="shared" ref="R20:R21" si="8">C20</f>
        <v>0.41841004184100417</v>
      </c>
      <c r="S20" s="31" t="s">
        <v>45</v>
      </c>
      <c r="T20" s="44">
        <f t="shared" ref="T20:T21" si="9">G20</f>
        <v>3.8000000000001401E-3</v>
      </c>
      <c r="U20" s="31" t="s">
        <v>42</v>
      </c>
    </row>
    <row r="21" spans="1:21" x14ac:dyDescent="0.25">
      <c r="A21" s="4" t="s">
        <v>5</v>
      </c>
      <c r="B21" s="13">
        <f>H11</f>
        <v>5.25</v>
      </c>
      <c r="C21" s="46">
        <f t="shared" si="2"/>
        <v>0.33003300330033003</v>
      </c>
      <c r="D21" s="4">
        <f>ABS(B21-C11)</f>
        <v>0.12000000000000011</v>
      </c>
      <c r="E21" s="5">
        <f t="shared" si="3"/>
        <v>2.3391812865497099E-2</v>
      </c>
      <c r="F21" s="48">
        <f t="shared" si="4"/>
        <v>5.033003300330019E-3</v>
      </c>
      <c r="G21" s="5">
        <f t="shared" si="5"/>
        <v>1.5249999999999958E-2</v>
      </c>
      <c r="J21" t="s">
        <v>30</v>
      </c>
      <c r="K21" s="31" t="s">
        <v>32</v>
      </c>
      <c r="L21" s="32">
        <f t="shared" si="6"/>
        <v>5.13</v>
      </c>
      <c r="M21" s="31" t="s">
        <v>44</v>
      </c>
      <c r="N21" s="44">
        <f t="shared" si="7"/>
        <v>2.3391812865497099E-2</v>
      </c>
      <c r="O21" s="32" t="s">
        <v>41</v>
      </c>
      <c r="P21" s="31" t="s">
        <v>34</v>
      </c>
      <c r="Q21" s="31" t="s">
        <v>33</v>
      </c>
      <c r="R21" s="32">
        <f t="shared" si="8"/>
        <v>0.33003300330033003</v>
      </c>
      <c r="S21" s="31" t="s">
        <v>44</v>
      </c>
      <c r="T21" s="44">
        <f t="shared" si="9"/>
        <v>1.5249999999999958E-2</v>
      </c>
      <c r="U21" s="31" t="s">
        <v>42</v>
      </c>
    </row>
    <row r="22" spans="1:21" x14ac:dyDescent="0.25">
      <c r="D22" s="2"/>
      <c r="E22" s="6"/>
      <c r="F22" s="2"/>
      <c r="G22" s="6"/>
    </row>
    <row r="23" spans="1:21" x14ac:dyDescent="0.25">
      <c r="C23" s="10" t="s">
        <v>14</v>
      </c>
      <c r="D23" s="9">
        <f>AVERAGE(D19:D21)</f>
        <v>8.66666666666666E-2</v>
      </c>
      <c r="E23" s="29">
        <f t="shared" ref="E23:F23" si="10">AVERAGE(E19:E21)</f>
        <v>1.8643236820554968E-2</v>
      </c>
      <c r="F23" s="9">
        <f t="shared" si="10"/>
        <v>2.507954120075595E-3</v>
      </c>
      <c r="G23" s="1">
        <f>AVERAGE(G19:G21)</f>
        <v>6.6833333333333632E-3</v>
      </c>
      <c r="L23" s="24"/>
    </row>
    <row r="24" spans="1:21" x14ac:dyDescent="0.25">
      <c r="D24" s="28" t="s">
        <v>19</v>
      </c>
      <c r="F24" s="28" t="s">
        <v>19</v>
      </c>
    </row>
    <row r="25" spans="1:21" x14ac:dyDescent="0.25">
      <c r="D25" s="25"/>
      <c r="F25" s="25"/>
    </row>
    <row r="26" spans="1:21" x14ac:dyDescent="0.25">
      <c r="B26" s="43" t="s">
        <v>39</v>
      </c>
      <c r="C26" t="s">
        <v>40</v>
      </c>
      <c r="D26" s="24"/>
      <c r="F26" s="24"/>
    </row>
    <row r="27" spans="1:21" x14ac:dyDescent="0.25">
      <c r="B27" t="s">
        <v>38</v>
      </c>
      <c r="C27" t="s">
        <v>46</v>
      </c>
    </row>
  </sheetData>
  <mergeCells count="3">
    <mergeCell ref="B7:G7"/>
    <mergeCell ref="H7:I7"/>
    <mergeCell ref="B15:U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2025-03-15T13:04:56Z</dcterms:created>
  <dcterms:modified xsi:type="dcterms:W3CDTF">2025-03-16T03:14:02Z</dcterms:modified>
</cp:coreProperties>
</file>