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新文件\2. 大一下\1. 学习资料\6. 物理实验\4. 示波器的使用\数据处理\"/>
    </mc:Choice>
  </mc:AlternateContent>
  <xr:revisionPtr revIDLastSave="0" documentId="13_ncr:1_{1C168344-FCFD-4E71-AB1B-5DDF119B2E23}" xr6:coauthVersionLast="47" xr6:coauthVersionMax="47" xr10:uidLastSave="{00000000-0000-0000-0000-000000000000}"/>
  <bookViews>
    <workbookView xWindow="-108" yWindow="-108" windowWidth="23256" windowHeight="13896" xr2:uid="{B3D2E220-FECB-4E08-931B-010293533F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1" l="1"/>
  <c r="C11" i="1"/>
  <c r="C7" i="1"/>
  <c r="D7" i="1"/>
  <c r="B7" i="1"/>
  <c r="C5" i="1"/>
  <c r="D5" i="1"/>
  <c r="B5" i="1"/>
  <c r="C9" i="1" l="1"/>
  <c r="G12" i="1" s="1"/>
  <c r="C10" i="1" l="1"/>
  <c r="C12" i="1" s="1"/>
  <c r="I12" i="1" s="1"/>
</calcChain>
</file>

<file path=xl/sharedStrings.xml><?xml version="1.0" encoding="utf-8"?>
<sst xmlns="http://schemas.openxmlformats.org/spreadsheetml/2006/main" count="29" uniqueCount="27">
  <si>
    <t>fx</t>
    <phoneticPr fontId="1" type="noConversion"/>
  </si>
  <si>
    <t>fy</t>
    <phoneticPr fontId="1" type="noConversion"/>
  </si>
  <si>
    <t>fy平均值</t>
    <phoneticPr fontId="1" type="noConversion"/>
  </si>
  <si>
    <r>
      <t>标准误差</t>
    </r>
    <r>
      <rPr>
        <sz val="11"/>
        <color theme="1"/>
        <rFont val="Calibri"/>
        <family val="2"/>
        <charset val="161"/>
      </rPr>
      <t>σ</t>
    </r>
    <phoneticPr fontId="1" type="noConversion"/>
  </si>
  <si>
    <t>与不确定度同末位</t>
    <phoneticPr fontId="3" type="noConversion"/>
  </si>
  <si>
    <t>保留一位</t>
    <phoneticPr fontId="3" type="noConversion"/>
  </si>
  <si>
    <t>↓↓↓</t>
    <phoneticPr fontId="3" type="noConversion"/>
  </si>
  <si>
    <t>±</t>
    <phoneticPr fontId="3" type="noConversion"/>
  </si>
  <si>
    <t>(P=95.5%)</t>
    <phoneticPr fontId="3" type="noConversion"/>
  </si>
  <si>
    <t>tp</t>
    <phoneticPr fontId="1" type="noConversion"/>
  </si>
  <si>
    <t>A类标准不确定度uA</t>
    <phoneticPr fontId="1" type="noConversion"/>
  </si>
  <si>
    <t>A类不确定度UA</t>
    <phoneticPr fontId="1" type="noConversion"/>
  </si>
  <si>
    <t>fy =</t>
    <phoneticPr fontId="3" type="noConversion"/>
  </si>
  <si>
    <t>v0</t>
    <phoneticPr fontId="1" type="noConversion"/>
  </si>
  <si>
    <t>←←←只用输入这行数据</t>
    <phoneticPr fontId="1" type="noConversion"/>
  </si>
  <si>
    <t>说    明：仅供参考，数据、进位等有误概不负责。未明确标注留多少位有效数字的自行判断。</t>
    <phoneticPr fontId="3" type="noConversion"/>
  </si>
  <si>
    <t>操作方法：自行输入蓝底部分数据即可，全自动计算，其余部分不用动。</t>
    <phoneticPr fontId="3" type="noConversion"/>
  </si>
  <si>
    <t>制作：</t>
    <phoneticPr fontId="3" type="noConversion"/>
  </si>
  <si>
    <t>机械学院 24级 momooo</t>
    <phoneticPr fontId="1" type="noConversion"/>
  </si>
  <si>
    <t>Last Updated:</t>
    <phoneticPr fontId="1" type="noConversion"/>
  </si>
  <si>
    <t>数据表达：</t>
    <phoneticPr fontId="3" type="noConversion"/>
  </si>
  <si>
    <t>Hz</t>
    <phoneticPr fontId="3" type="noConversion"/>
  </si>
  <si>
    <t>N</t>
    <phoneticPr fontId="1" type="noConversion"/>
  </si>
  <si>
    <t>()^2/2</t>
    <phoneticPr fontId="1" type="noConversion"/>
  </si>
  <si>
    <t>n=3, p=95.5%</t>
    <phoneticPr fontId="1" type="noConversion"/>
  </si>
  <si>
    <t>2025.3.15  28:24</t>
    <phoneticPr fontId="1" type="noConversion"/>
  </si>
  <si>
    <t xml:space="preserve">Ur =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</si>
</sst>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0"/>
    <numFmt numFmtId="177" formatCode="0.0000000"/>
    <numFmt numFmtId="178" formatCode="0.0000_);[Red]\(0.0000\)"/>
    <numFmt numFmtId="179" formatCode="0.0000"/>
    <numFmt numFmtId="181" formatCode="0.0000%"/>
  </numFmts>
  <fonts count="6" x14ac:knownFonts="1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1"/>
      <color theme="1"/>
      <name val="Calibri"/>
      <family val="2"/>
      <charset val="161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176" fontId="0" fillId="3" borderId="5" xfId="0" applyNumberFormat="1" applyFill="1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6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2" xfId="0" applyFill="1" applyBorder="1" applyAlignment="1"/>
    <xf numFmtId="0" fontId="0" fillId="2" borderId="3" xfId="0" applyFill="1" applyBorder="1" applyAlignment="1"/>
    <xf numFmtId="0" fontId="0" fillId="2" borderId="6" xfId="0" applyFill="1" applyBorder="1" applyAlignment="1"/>
    <xf numFmtId="0" fontId="0" fillId="2" borderId="7" xfId="0" applyFill="1" applyBorder="1" applyAlignment="1"/>
    <xf numFmtId="0" fontId="0" fillId="2" borderId="7" xfId="0" applyFill="1" applyBorder="1" applyAlignment="1">
      <alignment horizontal="right"/>
    </xf>
    <xf numFmtId="10" fontId="0" fillId="2" borderId="8" xfId="0" applyNumberForma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176" fontId="0" fillId="2" borderId="7" xfId="0" applyNumberFormat="1" applyFill="1" applyBorder="1">
      <alignment vertical="center"/>
    </xf>
    <xf numFmtId="176" fontId="0" fillId="2" borderId="8" xfId="0" applyNumberFormat="1" applyFill="1" applyBorder="1">
      <alignment vertical="center"/>
    </xf>
    <xf numFmtId="176" fontId="0" fillId="3" borderId="0" xfId="0" applyNumberFormat="1" applyFill="1">
      <alignment vertical="center"/>
    </xf>
    <xf numFmtId="2" fontId="0" fillId="0" borderId="0" xfId="0" applyNumberFormat="1">
      <alignment vertical="center"/>
    </xf>
    <xf numFmtId="178" fontId="0" fillId="2" borderId="2" xfId="0" applyNumberFormat="1" applyFill="1" applyBorder="1" applyAlignment="1">
      <alignment horizontal="left"/>
    </xf>
    <xf numFmtId="179" fontId="0" fillId="2" borderId="2" xfId="0" applyNumberFormat="1" applyFill="1" applyBorder="1" applyAlignment="1">
      <alignment horizontal="right"/>
    </xf>
    <xf numFmtId="0" fontId="0" fillId="2" borderId="1" xfId="0" applyFill="1" applyBorder="1">
      <alignment vertical="center"/>
    </xf>
    <xf numFmtId="177" fontId="0" fillId="2" borderId="3" xfId="0" applyNumberFormat="1" applyFill="1" applyBorder="1">
      <alignment vertical="center"/>
    </xf>
    <xf numFmtId="181" fontId="0" fillId="0" borderId="0" xfId="1" applyNumberFormat="1" applyFo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F8AEA-362A-4024-90A0-D60D3711C881}">
  <dimension ref="A1:J24"/>
  <sheetViews>
    <sheetView tabSelected="1" workbookViewId="0">
      <selection activeCell="I15" sqref="I15"/>
    </sheetView>
  </sheetViews>
  <sheetFormatPr defaultRowHeight="14.4" x14ac:dyDescent="0.25"/>
  <cols>
    <col min="2" max="2" width="19.21875" customWidth="1"/>
    <col min="3" max="3" width="16.109375" customWidth="1"/>
    <col min="4" max="4" width="14.77734375" customWidth="1"/>
    <col min="5" max="5" width="10.21875" customWidth="1"/>
    <col min="6" max="6" width="5.6640625" customWidth="1"/>
    <col min="7" max="7" width="11.109375" customWidth="1"/>
    <col min="8" max="8" width="3.5546875" customWidth="1"/>
    <col min="9" max="9" width="9.21875" customWidth="1"/>
    <col min="10" max="10" width="4.21875" customWidth="1"/>
  </cols>
  <sheetData>
    <row r="1" spans="1:10" x14ac:dyDescent="0.25">
      <c r="A1" t="s">
        <v>13</v>
      </c>
    </row>
    <row r="3" spans="1:10" x14ac:dyDescent="0.25">
      <c r="A3" s="5" t="s">
        <v>22</v>
      </c>
      <c r="B3" s="6">
        <v>1</v>
      </c>
      <c r="C3" s="6">
        <v>2</v>
      </c>
      <c r="D3" s="7">
        <v>3</v>
      </c>
    </row>
    <row r="4" spans="1:10" x14ac:dyDescent="0.25">
      <c r="A4" s="8" t="s">
        <v>0</v>
      </c>
      <c r="B4" s="26">
        <v>100.163</v>
      </c>
      <c r="C4" s="26">
        <v>50.081699999999998</v>
      </c>
      <c r="D4" s="10">
        <v>33.387700000000002</v>
      </c>
      <c r="E4" t="s">
        <v>14</v>
      </c>
    </row>
    <row r="5" spans="1:10" x14ac:dyDescent="0.25">
      <c r="A5" s="11" t="s">
        <v>1</v>
      </c>
      <c r="B5" s="24">
        <f>B4*B3</f>
        <v>100.163</v>
      </c>
      <c r="C5" s="24">
        <f t="shared" ref="C5:D5" si="0">C4*C3</f>
        <v>100.1634</v>
      </c>
      <c r="D5" s="25">
        <f t="shared" si="0"/>
        <v>100.16310000000001</v>
      </c>
    </row>
    <row r="6" spans="1:10" x14ac:dyDescent="0.25">
      <c r="B6" s="1"/>
      <c r="C6" s="1"/>
      <c r="D6" s="1"/>
    </row>
    <row r="7" spans="1:10" x14ac:dyDescent="0.25">
      <c r="A7" s="12" t="s">
        <v>23</v>
      </c>
      <c r="B7" s="13">
        <f>(B5-$C$9)^2/2</f>
        <v>1.3888888889811015E-8</v>
      </c>
      <c r="C7" s="13">
        <f t="shared" ref="C7:D7" si="1">(C5-$C$9)^2/2</f>
        <v>2.7222222220713723E-8</v>
      </c>
      <c r="D7" s="14">
        <f t="shared" si="1"/>
        <v>2.222222221422372E-9</v>
      </c>
    </row>
    <row r="9" spans="1:10" x14ac:dyDescent="0.25">
      <c r="B9" s="30" t="s">
        <v>2</v>
      </c>
      <c r="C9" s="31">
        <f>AVERAGE(B5:D5)</f>
        <v>100.16316666666667</v>
      </c>
    </row>
    <row r="10" spans="1:10" x14ac:dyDescent="0.25">
      <c r="B10" s="8" t="s">
        <v>3</v>
      </c>
      <c r="C10" s="9">
        <f>SQRT(SUM(B7:D7))</f>
        <v>2.0816659994328366E-4</v>
      </c>
      <c r="E10" s="2"/>
      <c r="F10" s="2"/>
      <c r="G10" s="3" t="s">
        <v>4</v>
      </c>
      <c r="H10" s="2"/>
      <c r="I10" s="2" t="s">
        <v>5</v>
      </c>
      <c r="J10" s="2"/>
    </row>
    <row r="11" spans="1:10" x14ac:dyDescent="0.25">
      <c r="B11" s="8" t="s">
        <v>10</v>
      </c>
      <c r="C11" s="9">
        <f>C10/SQRT(3)</f>
        <v>1.2018504251354397E-4</v>
      </c>
      <c r="E11" s="2"/>
      <c r="F11" s="2"/>
      <c r="G11" s="4" t="s">
        <v>6</v>
      </c>
      <c r="H11" s="2"/>
      <c r="I11" s="4" t="s">
        <v>6</v>
      </c>
      <c r="J11" s="2"/>
    </row>
    <row r="12" spans="1:10" x14ac:dyDescent="0.25">
      <c r="B12" s="15" t="s">
        <v>11</v>
      </c>
      <c r="C12" s="16">
        <f>C15*C11</f>
        <v>5.16795682808239E-4</v>
      </c>
      <c r="D12" s="2" t="s">
        <v>5</v>
      </c>
      <c r="E12" s="2" t="s">
        <v>20</v>
      </c>
      <c r="F12" s="23" t="s">
        <v>12</v>
      </c>
      <c r="G12" s="29">
        <f>C9</f>
        <v>100.16316666666667</v>
      </c>
      <c r="H12" s="17" t="s">
        <v>7</v>
      </c>
      <c r="I12" s="28">
        <f>C12</f>
        <v>5.16795682808239E-4</v>
      </c>
      <c r="J12" s="18" t="s">
        <v>21</v>
      </c>
    </row>
    <row r="13" spans="1:10" x14ac:dyDescent="0.25">
      <c r="E13" s="2"/>
      <c r="F13" s="19"/>
      <c r="G13" s="21" t="s">
        <v>8</v>
      </c>
      <c r="H13" s="20"/>
      <c r="I13" s="21"/>
      <c r="J13" s="22"/>
    </row>
    <row r="14" spans="1:10" x14ac:dyDescent="0.25">
      <c r="B14" t="s">
        <v>24</v>
      </c>
    </row>
    <row r="15" spans="1:10" x14ac:dyDescent="0.25">
      <c r="B15" t="s">
        <v>9</v>
      </c>
      <c r="C15" s="27">
        <v>4.3</v>
      </c>
      <c r="G15" t="s">
        <v>26</v>
      </c>
      <c r="I15" s="32">
        <f>C12/C9</f>
        <v>5.1595381816160528E-6</v>
      </c>
    </row>
    <row r="18" spans="2:3" x14ac:dyDescent="0.25">
      <c r="B18" s="2" t="s">
        <v>15</v>
      </c>
    </row>
    <row r="19" spans="2:3" x14ac:dyDescent="0.25">
      <c r="B19" s="2" t="s">
        <v>16</v>
      </c>
    </row>
    <row r="23" spans="2:3" x14ac:dyDescent="0.25">
      <c r="B23" s="2" t="s">
        <v>17</v>
      </c>
      <c r="C23" t="s">
        <v>18</v>
      </c>
    </row>
    <row r="24" spans="2:3" x14ac:dyDescent="0.25">
      <c r="B24" t="s">
        <v>19</v>
      </c>
      <c r="C24" t="s">
        <v>25</v>
      </c>
    </row>
  </sheetData>
  <protectedRanges>
    <protectedRange algorithmName="SHA-512" hashValue="EZ54qFQBiANG5MuYW1m8n46tKWE/eQVeKG0Xbti9tRO2NmtHlUnFNg/kjtzQ+DDOQNS1eEMKaMwrT+lwKGa28w==" saltValue="bWzCL/4lg55q98lXJpVB2g==" spinCount="100000" sqref="B23:C24" name="区域1"/>
  </protectedRange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momooo</dc:creator>
  <cp:lastModifiedBy>momooo</cp:lastModifiedBy>
  <dcterms:created xsi:type="dcterms:W3CDTF">2025-03-15T19:19:01Z</dcterms:created>
  <dcterms:modified xsi:type="dcterms:W3CDTF">2025-03-16T08:02:45Z</dcterms:modified>
</cp:coreProperties>
</file>