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4. 示波器的使用\数据处理\"/>
    </mc:Choice>
  </mc:AlternateContent>
  <xr:revisionPtr revIDLastSave="0" documentId="13_ncr:1_{2042C500-C8EF-41BB-9903-07B42A8E71C4}" xr6:coauthVersionLast="47" xr6:coauthVersionMax="47" xr10:uidLastSave="{00000000-0000-0000-0000-000000000000}"/>
  <bookViews>
    <workbookView minimized="1" xWindow="768" yWindow="768" windowWidth="17280" windowHeight="12516" xr2:uid="{7AE4ECC1-484A-4FC6-9CD8-5DA150B98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2" i="1"/>
  <c r="L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J5" i="1"/>
  <c r="J6" i="1"/>
  <c r="J7" i="1"/>
  <c r="J8" i="1"/>
  <c r="J9" i="1"/>
  <c r="J10" i="1"/>
  <c r="J11" i="1"/>
  <c r="J12" i="1"/>
  <c r="J13" i="1"/>
  <c r="J14" i="1"/>
  <c r="J15" i="1"/>
  <c r="J2" i="1"/>
  <c r="J3" i="1"/>
  <c r="J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L16" i="1" l="1"/>
</calcChain>
</file>

<file path=xl/sharedStrings.xml><?xml version="1.0" encoding="utf-8"?>
<sst xmlns="http://schemas.openxmlformats.org/spreadsheetml/2006/main" count="11" uniqueCount="11">
  <si>
    <t>序号</t>
    <phoneticPr fontId="1" type="noConversion"/>
  </si>
  <si>
    <t>输出电压/V</t>
    <phoneticPr fontId="1" type="noConversion"/>
  </si>
  <si>
    <t>输入电压频率f/Hz</t>
    <phoneticPr fontId="1" type="noConversion"/>
  </si>
  <si>
    <t>lgf</t>
    <phoneticPr fontId="1" type="noConversion"/>
  </si>
  <si>
    <r>
      <t>R/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</si>
  <si>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C/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F</t>
    </r>
    <phoneticPr fontId="1" type="noConversion"/>
  </si>
  <si>
    <t>测量计算值ucpp/V</t>
    <phoneticPr fontId="1" type="noConversion"/>
  </si>
  <si>
    <t>测量有效值Urms/V</t>
    <phoneticPr fontId="1" type="noConversion"/>
  </si>
  <si>
    <t>理论有效值Vrms/V</t>
    <phoneticPr fontId="1" type="noConversion"/>
  </si>
  <si>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/(rad/s)</t>
    </r>
    <phoneticPr fontId="1" type="noConversion"/>
  </si>
  <si>
    <t>C/F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</si>
</sst>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"/>
  </numFmts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83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588D-FC7C-42A3-A28D-8219CB6679ED}">
  <dimension ref="A1:L16"/>
  <sheetViews>
    <sheetView tabSelected="1" workbookViewId="0">
      <selection activeCell="C2" sqref="C2"/>
    </sheetView>
  </sheetViews>
  <sheetFormatPr defaultRowHeight="14.4" x14ac:dyDescent="0.25"/>
  <cols>
    <col min="2" max="2" width="11.6640625" bestFit="1" customWidth="1"/>
    <col min="3" max="4" width="11.6640625" customWidth="1"/>
    <col min="5" max="5" width="12.88671875" customWidth="1"/>
    <col min="6" max="6" width="18.33203125" bestFit="1" customWidth="1"/>
    <col min="7" max="7" width="18.33203125" customWidth="1"/>
    <col min="9" max="10" width="18.33203125" bestFit="1" customWidth="1"/>
    <col min="11" max="11" width="18.33203125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5</v>
      </c>
      <c r="E1" t="s">
        <v>10</v>
      </c>
      <c r="F1" t="s">
        <v>2</v>
      </c>
      <c r="G1" s="3" t="s">
        <v>9</v>
      </c>
      <c r="H1" t="s">
        <v>3</v>
      </c>
      <c r="I1" t="s">
        <v>6</v>
      </c>
      <c r="J1" t="s">
        <v>7</v>
      </c>
      <c r="K1" t="s">
        <v>8</v>
      </c>
    </row>
    <row r="2" spans="1:12" x14ac:dyDescent="0.25">
      <c r="A2">
        <v>1</v>
      </c>
      <c r="B2">
        <v>1</v>
      </c>
      <c r="C2">
        <v>1500</v>
      </c>
      <c r="D2">
        <v>0.01</v>
      </c>
      <c r="E2">
        <f>D2*10^(-6)</f>
        <v>1E-8</v>
      </c>
      <c r="F2">
        <v>500</v>
      </c>
      <c r="G2">
        <f>2*PI()*F2</f>
        <v>3141.5926535897929</v>
      </c>
      <c r="H2" s="1">
        <f>LOG10(F2)</f>
        <v>2.6989700043360187</v>
      </c>
      <c r="I2">
        <v>5.04</v>
      </c>
      <c r="J2" s="2">
        <f t="shared" ref="J2:J15" si="0">I2/(2*SQRT(2))</f>
        <v>1.7819090885900997</v>
      </c>
      <c r="K2">
        <f>B2/SQRT((G2*E2*C2)^2+1)</f>
        <v>0.99889151534009391</v>
      </c>
      <c r="L2">
        <f>J2/K2</f>
        <v>1.783886499409709</v>
      </c>
    </row>
    <row r="3" spans="1:12" x14ac:dyDescent="0.25">
      <c r="A3">
        <v>2</v>
      </c>
      <c r="B3">
        <v>1</v>
      </c>
      <c r="C3">
        <v>1500</v>
      </c>
      <c r="D3">
        <v>0.01</v>
      </c>
      <c r="E3">
        <f t="shared" ref="E3:E15" si="1">D3*10^(-6)</f>
        <v>1E-8</v>
      </c>
      <c r="F3">
        <v>1000</v>
      </c>
      <c r="G3">
        <f t="shared" ref="G3:G15" si="2">2*PI()*F3</f>
        <v>6283.1853071795858</v>
      </c>
      <c r="H3" s="1">
        <f t="shared" ref="H3:H15" si="3">LOG10(F3)</f>
        <v>3</v>
      </c>
      <c r="I3">
        <v>5.04</v>
      </c>
      <c r="J3" s="2">
        <f t="shared" si="0"/>
        <v>1.7819090885900997</v>
      </c>
      <c r="K3">
        <f t="shared" ref="K3:K15" si="4">B3/SQRT((G3*E3*C3)^2+1)</f>
        <v>0.99558804870320183</v>
      </c>
      <c r="L3">
        <f t="shared" ref="L3:L15" si="5">J3/K3</f>
        <v>1.7898056238331872</v>
      </c>
    </row>
    <row r="4" spans="1:12" x14ac:dyDescent="0.25">
      <c r="A4">
        <v>3</v>
      </c>
      <c r="B4">
        <v>1</v>
      </c>
      <c r="C4">
        <v>1500</v>
      </c>
      <c r="D4">
        <v>0.01</v>
      </c>
      <c r="E4">
        <f t="shared" si="1"/>
        <v>1E-8</v>
      </c>
      <c r="F4">
        <v>2000</v>
      </c>
      <c r="G4">
        <f t="shared" si="2"/>
        <v>12566.370614359172</v>
      </c>
      <c r="H4" s="1">
        <f t="shared" si="3"/>
        <v>3.3010299956639813</v>
      </c>
      <c r="I4">
        <v>4.96</v>
      </c>
      <c r="J4" s="2">
        <f>I4/(2*SQRT(2))</f>
        <v>1.7536248173426376</v>
      </c>
      <c r="K4">
        <f t="shared" si="4"/>
        <v>0.98269452549000291</v>
      </c>
      <c r="L4">
        <f t="shared" si="5"/>
        <v>1.784506549955821</v>
      </c>
    </row>
    <row r="5" spans="1:12" x14ac:dyDescent="0.25">
      <c r="A5">
        <v>4</v>
      </c>
      <c r="B5">
        <v>1</v>
      </c>
      <c r="C5">
        <v>1500</v>
      </c>
      <c r="D5">
        <v>0.01</v>
      </c>
      <c r="E5">
        <f t="shared" si="1"/>
        <v>1E-8</v>
      </c>
      <c r="F5">
        <v>3000</v>
      </c>
      <c r="G5">
        <f t="shared" si="2"/>
        <v>18849.555921538758</v>
      </c>
      <c r="H5" s="1">
        <f t="shared" si="3"/>
        <v>3.4771212547196626</v>
      </c>
      <c r="I5">
        <v>4.88</v>
      </c>
      <c r="J5" s="2">
        <f t="shared" si="0"/>
        <v>1.7253405460951758</v>
      </c>
      <c r="K5">
        <f t="shared" si="4"/>
        <v>0.96227548789618933</v>
      </c>
      <c r="L5">
        <f t="shared" si="5"/>
        <v>1.7929798356053586</v>
      </c>
    </row>
    <row r="6" spans="1:12" x14ac:dyDescent="0.25">
      <c r="A6">
        <v>5</v>
      </c>
      <c r="B6">
        <v>1</v>
      </c>
      <c r="C6">
        <v>1500</v>
      </c>
      <c r="D6">
        <v>0.01</v>
      </c>
      <c r="E6">
        <f t="shared" si="1"/>
        <v>1E-8</v>
      </c>
      <c r="F6">
        <v>5000</v>
      </c>
      <c r="G6">
        <f t="shared" si="2"/>
        <v>31415.926535897932</v>
      </c>
      <c r="H6" s="1">
        <f t="shared" si="3"/>
        <v>3.6989700043360187</v>
      </c>
      <c r="I6">
        <v>4.4800000000000004</v>
      </c>
      <c r="J6" s="2">
        <f t="shared" si="0"/>
        <v>1.5839191898578664</v>
      </c>
      <c r="K6">
        <f t="shared" si="4"/>
        <v>0.90459181057363114</v>
      </c>
      <c r="L6">
        <f t="shared" si="5"/>
        <v>1.7509767072216269</v>
      </c>
    </row>
    <row r="7" spans="1:12" x14ac:dyDescent="0.25">
      <c r="A7">
        <v>6</v>
      </c>
      <c r="B7">
        <v>1</v>
      </c>
      <c r="C7">
        <v>1500</v>
      </c>
      <c r="D7">
        <v>0.01</v>
      </c>
      <c r="E7">
        <f t="shared" si="1"/>
        <v>1E-8</v>
      </c>
      <c r="F7">
        <v>7000</v>
      </c>
      <c r="G7">
        <f t="shared" si="2"/>
        <v>43982.297150257102</v>
      </c>
      <c r="H7" s="1">
        <f t="shared" si="3"/>
        <v>3.8450980400142569</v>
      </c>
      <c r="I7">
        <v>4.16</v>
      </c>
      <c r="J7" s="2">
        <f t="shared" si="0"/>
        <v>1.4707821048680187</v>
      </c>
      <c r="K7">
        <f t="shared" si="4"/>
        <v>0.83471129393102039</v>
      </c>
      <c r="L7">
        <f t="shared" si="5"/>
        <v>1.7620249247395023</v>
      </c>
    </row>
    <row r="8" spans="1:12" x14ac:dyDescent="0.25">
      <c r="A8">
        <v>7</v>
      </c>
      <c r="B8">
        <v>1</v>
      </c>
      <c r="C8">
        <v>1500</v>
      </c>
      <c r="D8">
        <v>0.01</v>
      </c>
      <c r="E8">
        <f t="shared" si="1"/>
        <v>1E-8</v>
      </c>
      <c r="F8">
        <v>9000</v>
      </c>
      <c r="G8">
        <f t="shared" si="2"/>
        <v>56548.667764616279</v>
      </c>
      <c r="H8" s="1">
        <f t="shared" si="3"/>
        <v>3.9542425094393248</v>
      </c>
      <c r="I8">
        <v>3.76</v>
      </c>
      <c r="J8" s="2">
        <f t="shared" si="0"/>
        <v>1.3293607486307091</v>
      </c>
      <c r="K8">
        <f t="shared" si="4"/>
        <v>0.76260499812762617</v>
      </c>
      <c r="L8">
        <f t="shared" si="5"/>
        <v>1.7431838919159997</v>
      </c>
    </row>
    <row r="9" spans="1:12" x14ac:dyDescent="0.25">
      <c r="A9">
        <v>8</v>
      </c>
      <c r="B9">
        <v>1</v>
      </c>
      <c r="C9">
        <v>1500</v>
      </c>
      <c r="D9">
        <v>0.01</v>
      </c>
      <c r="E9">
        <f t="shared" si="1"/>
        <v>1E-8</v>
      </c>
      <c r="F9">
        <v>11000</v>
      </c>
      <c r="G9">
        <f t="shared" si="2"/>
        <v>69115.038378975441</v>
      </c>
      <c r="H9" s="1">
        <f t="shared" si="3"/>
        <v>4.0413926851582254</v>
      </c>
      <c r="I9">
        <v>3.44</v>
      </c>
      <c r="J9" s="2">
        <f t="shared" si="0"/>
        <v>1.2162236636408617</v>
      </c>
      <c r="K9">
        <f t="shared" si="4"/>
        <v>0.69424360633440074</v>
      </c>
      <c r="L9">
        <f t="shared" si="5"/>
        <v>1.7518687281291798</v>
      </c>
    </row>
    <row r="10" spans="1:12" x14ac:dyDescent="0.25">
      <c r="A10">
        <v>9</v>
      </c>
      <c r="B10">
        <v>1</v>
      </c>
      <c r="C10">
        <v>1500</v>
      </c>
      <c r="D10">
        <v>0.01</v>
      </c>
      <c r="E10">
        <f t="shared" si="1"/>
        <v>1E-8</v>
      </c>
      <c r="F10">
        <v>13000</v>
      </c>
      <c r="G10">
        <f t="shared" si="2"/>
        <v>81681.408993334626</v>
      </c>
      <c r="H10" s="1">
        <f t="shared" si="3"/>
        <v>4.1139433523068369</v>
      </c>
      <c r="I10">
        <v>3.12</v>
      </c>
      <c r="J10" s="2">
        <f t="shared" si="0"/>
        <v>1.103086578651014</v>
      </c>
      <c r="K10">
        <f t="shared" si="4"/>
        <v>0.63230799013602113</v>
      </c>
      <c r="L10">
        <f t="shared" si="5"/>
        <v>1.7445399961080987</v>
      </c>
    </row>
    <row r="11" spans="1:12" x14ac:dyDescent="0.25">
      <c r="A11">
        <v>10</v>
      </c>
      <c r="B11">
        <v>1</v>
      </c>
      <c r="C11">
        <v>1500</v>
      </c>
      <c r="D11">
        <v>0.01</v>
      </c>
      <c r="E11">
        <f t="shared" si="1"/>
        <v>1E-8</v>
      </c>
      <c r="F11">
        <v>15000</v>
      </c>
      <c r="G11">
        <f t="shared" si="2"/>
        <v>94247.779607693796</v>
      </c>
      <c r="H11" s="1">
        <f t="shared" si="3"/>
        <v>4.1760912590556813</v>
      </c>
      <c r="I11">
        <v>2.88</v>
      </c>
      <c r="J11" s="2">
        <f t="shared" si="0"/>
        <v>1.0182337649086284</v>
      </c>
      <c r="K11">
        <f t="shared" si="4"/>
        <v>0.5774855233585241</v>
      </c>
      <c r="L11">
        <f t="shared" si="5"/>
        <v>1.7632195504864139</v>
      </c>
    </row>
    <row r="12" spans="1:12" x14ac:dyDescent="0.25">
      <c r="A12">
        <v>11</v>
      </c>
      <c r="B12">
        <v>1</v>
      </c>
      <c r="C12">
        <v>1500</v>
      </c>
      <c r="D12">
        <v>0.01</v>
      </c>
      <c r="E12">
        <f t="shared" si="1"/>
        <v>1E-8</v>
      </c>
      <c r="F12">
        <v>18000</v>
      </c>
      <c r="G12">
        <f t="shared" si="2"/>
        <v>113097.33552923256</v>
      </c>
      <c r="H12" s="1">
        <f t="shared" si="3"/>
        <v>4.2552725051033065</v>
      </c>
      <c r="I12">
        <v>2.48</v>
      </c>
      <c r="J12" s="2">
        <f t="shared" si="0"/>
        <v>0.87681240867131882</v>
      </c>
      <c r="K12">
        <f t="shared" si="4"/>
        <v>0.50780550597285179</v>
      </c>
      <c r="L12">
        <f t="shared" si="5"/>
        <v>1.7266697551684185</v>
      </c>
    </row>
    <row r="13" spans="1:12" x14ac:dyDescent="0.25">
      <c r="A13">
        <v>12</v>
      </c>
      <c r="B13">
        <v>1</v>
      </c>
      <c r="C13">
        <v>1500</v>
      </c>
      <c r="D13">
        <v>0.01</v>
      </c>
      <c r="E13">
        <f t="shared" si="1"/>
        <v>1E-8</v>
      </c>
      <c r="F13">
        <v>22000</v>
      </c>
      <c r="G13">
        <f t="shared" si="2"/>
        <v>138230.07675795088</v>
      </c>
      <c r="H13" s="1">
        <f t="shared" si="3"/>
        <v>4.3424226808222066</v>
      </c>
      <c r="I13">
        <v>2.16</v>
      </c>
      <c r="J13" s="2">
        <f t="shared" si="0"/>
        <v>0.76367532368147129</v>
      </c>
      <c r="K13">
        <f t="shared" si="4"/>
        <v>0.43440504251993622</v>
      </c>
      <c r="L13">
        <f t="shared" si="5"/>
        <v>1.757979878068344</v>
      </c>
    </row>
    <row r="14" spans="1:12" x14ac:dyDescent="0.25">
      <c r="A14">
        <v>13</v>
      </c>
      <c r="B14">
        <v>1</v>
      </c>
      <c r="C14">
        <v>1500</v>
      </c>
      <c r="D14">
        <v>0.01</v>
      </c>
      <c r="E14">
        <f t="shared" si="1"/>
        <v>1E-8</v>
      </c>
      <c r="F14">
        <v>26000</v>
      </c>
      <c r="G14">
        <f t="shared" si="2"/>
        <v>163362.81798666925</v>
      </c>
      <c r="H14" s="1">
        <f t="shared" si="3"/>
        <v>4.4149733479708182</v>
      </c>
      <c r="I14">
        <v>1.92</v>
      </c>
      <c r="J14" s="2">
        <f t="shared" si="0"/>
        <v>0.67882250993908555</v>
      </c>
      <c r="K14">
        <f t="shared" si="4"/>
        <v>0.37783853025405795</v>
      </c>
      <c r="L14">
        <f t="shared" si="5"/>
        <v>1.7965941945694277</v>
      </c>
    </row>
    <row r="15" spans="1:12" x14ac:dyDescent="0.25">
      <c r="A15">
        <v>14</v>
      </c>
      <c r="B15">
        <v>1</v>
      </c>
      <c r="C15">
        <v>1500</v>
      </c>
      <c r="D15">
        <v>0.01</v>
      </c>
      <c r="E15">
        <f t="shared" si="1"/>
        <v>1E-8</v>
      </c>
      <c r="F15">
        <v>30000</v>
      </c>
      <c r="G15">
        <f t="shared" si="2"/>
        <v>188495.55921538759</v>
      </c>
      <c r="H15" s="1">
        <f t="shared" si="3"/>
        <v>4.4771212547196626</v>
      </c>
      <c r="I15">
        <v>1.68</v>
      </c>
      <c r="J15" s="2">
        <f t="shared" si="0"/>
        <v>0.59396969619669981</v>
      </c>
      <c r="K15">
        <f t="shared" si="4"/>
        <v>0.33343746423943016</v>
      </c>
      <c r="L15">
        <f t="shared" si="5"/>
        <v>1.7813526070069627</v>
      </c>
    </row>
    <row r="16" spans="1:12" x14ac:dyDescent="0.25">
      <c r="L16">
        <f>AVERAGE(L2:L15)</f>
        <v>1.7663991958727177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2025-03-19T16:28:41Z</dcterms:created>
  <dcterms:modified xsi:type="dcterms:W3CDTF">2025-03-19T18:59:29Z</dcterms:modified>
</cp:coreProperties>
</file>