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4. 示波器的使用\数据处理\"/>
    </mc:Choice>
  </mc:AlternateContent>
  <xr:revisionPtr revIDLastSave="0" documentId="13_ncr:1_{0A69B30B-0CD5-43C4-A1D3-9500BBF6370A}" xr6:coauthVersionLast="47" xr6:coauthVersionMax="47" xr10:uidLastSave="{00000000-0000-0000-0000-000000000000}"/>
  <bookViews>
    <workbookView xWindow="-108" yWindow="-108" windowWidth="23256" windowHeight="13896" xr2:uid="{87748FDC-52C4-49DD-BD2D-48E51B898BB8}"/>
  </bookViews>
  <sheets>
    <sheet name="表1" sheetId="2" r:id="rId1"/>
    <sheet name="表2 A类不确定度" sheetId="3" r:id="rId2"/>
    <sheet name="表3 A类不确定度" sheetId="4" r:id="rId3"/>
    <sheet name="选做 预处理" sheetId="6" r:id="rId4"/>
    <sheet name="选做 正式数据" sheetId="7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7" l="1"/>
  <c r="M38" i="7" s="1"/>
  <c r="K38" i="7"/>
  <c r="H38" i="7"/>
  <c r="E38" i="7"/>
  <c r="C38" i="7"/>
  <c r="N38" i="7" s="1"/>
  <c r="O38" i="7" s="1"/>
  <c r="N37" i="7"/>
  <c r="L37" i="7"/>
  <c r="M37" i="7" s="1"/>
  <c r="K37" i="7"/>
  <c r="H37" i="7"/>
  <c r="E37" i="7"/>
  <c r="C37" i="7"/>
  <c r="L36" i="7"/>
  <c r="M36" i="7" s="1"/>
  <c r="K36" i="7"/>
  <c r="H36" i="7"/>
  <c r="E36" i="7"/>
  <c r="C36" i="7"/>
  <c r="N36" i="7" s="1"/>
  <c r="L35" i="7"/>
  <c r="M35" i="7" s="1"/>
  <c r="K35" i="7"/>
  <c r="H35" i="7"/>
  <c r="E35" i="7"/>
  <c r="C35" i="7"/>
  <c r="N35" i="7" s="1"/>
  <c r="O35" i="7" s="1"/>
  <c r="N34" i="7"/>
  <c r="L34" i="7"/>
  <c r="M34" i="7" s="1"/>
  <c r="K34" i="7"/>
  <c r="H34" i="7"/>
  <c r="E34" i="7"/>
  <c r="C34" i="7"/>
  <c r="L33" i="7"/>
  <c r="M33" i="7" s="1"/>
  <c r="K33" i="7"/>
  <c r="H33" i="7"/>
  <c r="E33" i="7"/>
  <c r="C33" i="7"/>
  <c r="N33" i="7" s="1"/>
  <c r="O33" i="7" s="1"/>
  <c r="L32" i="7"/>
  <c r="M32" i="7" s="1"/>
  <c r="K32" i="7"/>
  <c r="H32" i="7"/>
  <c r="E32" i="7"/>
  <c r="C32" i="7"/>
  <c r="N32" i="7" s="1"/>
  <c r="N31" i="7"/>
  <c r="L31" i="7"/>
  <c r="M31" i="7" s="1"/>
  <c r="K31" i="7"/>
  <c r="H31" i="7"/>
  <c r="E31" i="7"/>
  <c r="C31" i="7"/>
  <c r="L30" i="7"/>
  <c r="M30" i="7" s="1"/>
  <c r="K30" i="7"/>
  <c r="H30" i="7"/>
  <c r="E30" i="7"/>
  <c r="C30" i="7"/>
  <c r="N30" i="7" s="1"/>
  <c r="O30" i="7" s="1"/>
  <c r="L29" i="7"/>
  <c r="M29" i="7" s="1"/>
  <c r="K29" i="7"/>
  <c r="H29" i="7"/>
  <c r="E29" i="7"/>
  <c r="C29" i="7"/>
  <c r="N29" i="7" s="1"/>
  <c r="O29" i="7" s="1"/>
  <c r="N28" i="7"/>
  <c r="L28" i="7"/>
  <c r="M28" i="7" s="1"/>
  <c r="K28" i="7"/>
  <c r="H28" i="7"/>
  <c r="E28" i="7"/>
  <c r="C28" i="7"/>
  <c r="L27" i="7"/>
  <c r="M27" i="7" s="1"/>
  <c r="K27" i="7"/>
  <c r="H27" i="7"/>
  <c r="E27" i="7"/>
  <c r="C27" i="7"/>
  <c r="N27" i="7" s="1"/>
  <c r="L26" i="7"/>
  <c r="M26" i="7" s="1"/>
  <c r="K26" i="7"/>
  <c r="H26" i="7"/>
  <c r="E26" i="7"/>
  <c r="C26" i="7"/>
  <c r="N26" i="7" s="1"/>
  <c r="O26" i="7" s="1"/>
  <c r="N25" i="7"/>
  <c r="L25" i="7"/>
  <c r="M25" i="7" s="1"/>
  <c r="K25" i="7"/>
  <c r="H25" i="7"/>
  <c r="E25" i="7"/>
  <c r="C25" i="7"/>
  <c r="L24" i="7"/>
  <c r="M24" i="7" s="1"/>
  <c r="K24" i="7"/>
  <c r="H24" i="7"/>
  <c r="E24" i="7"/>
  <c r="C24" i="7"/>
  <c r="N24" i="7" s="1"/>
  <c r="O24" i="7" s="1"/>
  <c r="L23" i="7"/>
  <c r="M23" i="7" s="1"/>
  <c r="K23" i="7"/>
  <c r="H23" i="7"/>
  <c r="E23" i="7"/>
  <c r="C23" i="7"/>
  <c r="N23" i="7" s="1"/>
  <c r="N22" i="7"/>
  <c r="L22" i="7"/>
  <c r="M22" i="7" s="1"/>
  <c r="K22" i="7"/>
  <c r="H22" i="7"/>
  <c r="E22" i="7"/>
  <c r="C22" i="7"/>
  <c r="L21" i="7"/>
  <c r="M21" i="7" s="1"/>
  <c r="K21" i="7"/>
  <c r="H21" i="7"/>
  <c r="E21" i="7"/>
  <c r="C21" i="7"/>
  <c r="N21" i="7" s="1"/>
  <c r="O21" i="7" s="1"/>
  <c r="L20" i="7"/>
  <c r="M20" i="7" s="1"/>
  <c r="K20" i="7"/>
  <c r="H20" i="7"/>
  <c r="E20" i="7"/>
  <c r="C20" i="7"/>
  <c r="N20" i="7" s="1"/>
  <c r="O20" i="7" s="1"/>
  <c r="N19" i="7"/>
  <c r="L19" i="7"/>
  <c r="M19" i="7" s="1"/>
  <c r="K19" i="7"/>
  <c r="H19" i="7"/>
  <c r="E19" i="7"/>
  <c r="C19" i="7"/>
  <c r="L18" i="7"/>
  <c r="M18" i="7" s="1"/>
  <c r="K18" i="7"/>
  <c r="H18" i="7"/>
  <c r="E18" i="7"/>
  <c r="C18" i="7"/>
  <c r="N18" i="7" s="1"/>
  <c r="L17" i="7"/>
  <c r="M17" i="7" s="1"/>
  <c r="K17" i="7"/>
  <c r="H17" i="7"/>
  <c r="E17" i="7"/>
  <c r="C17" i="7"/>
  <c r="N17" i="7" s="1"/>
  <c r="O17" i="7" s="1"/>
  <c r="N16" i="7"/>
  <c r="L16" i="7"/>
  <c r="M16" i="7" s="1"/>
  <c r="K16" i="7"/>
  <c r="H16" i="7"/>
  <c r="E16" i="7"/>
  <c r="C16" i="7"/>
  <c r="L15" i="7"/>
  <c r="M15" i="7" s="1"/>
  <c r="K15" i="7"/>
  <c r="H15" i="7"/>
  <c r="E15" i="7"/>
  <c r="C15" i="7"/>
  <c r="N15" i="7" s="1"/>
  <c r="O15" i="7" s="1"/>
  <c r="L14" i="7"/>
  <c r="M14" i="7" s="1"/>
  <c r="K14" i="7"/>
  <c r="H14" i="7"/>
  <c r="E14" i="7"/>
  <c r="C14" i="7"/>
  <c r="N14" i="7" s="1"/>
  <c r="N13" i="7"/>
  <c r="L13" i="7"/>
  <c r="M13" i="7" s="1"/>
  <c r="K13" i="7"/>
  <c r="H13" i="7"/>
  <c r="E13" i="7"/>
  <c r="C13" i="7"/>
  <c r="L12" i="7"/>
  <c r="M12" i="7" s="1"/>
  <c r="K12" i="7"/>
  <c r="H12" i="7"/>
  <c r="E12" i="7"/>
  <c r="C12" i="7"/>
  <c r="N12" i="7" s="1"/>
  <c r="O12" i="7" s="1"/>
  <c r="L11" i="7"/>
  <c r="M11" i="7" s="1"/>
  <c r="K11" i="7"/>
  <c r="H11" i="7"/>
  <c r="E11" i="7"/>
  <c r="C11" i="7"/>
  <c r="N11" i="7" s="1"/>
  <c r="O11" i="7" s="1"/>
  <c r="N10" i="7"/>
  <c r="L10" i="7"/>
  <c r="M10" i="7" s="1"/>
  <c r="K10" i="7"/>
  <c r="H10" i="7"/>
  <c r="E10" i="7"/>
  <c r="C10" i="7"/>
  <c r="L9" i="7"/>
  <c r="M9" i="7" s="1"/>
  <c r="K9" i="7"/>
  <c r="H9" i="7"/>
  <c r="E9" i="7"/>
  <c r="C9" i="7"/>
  <c r="N9" i="7" s="1"/>
  <c r="L8" i="7"/>
  <c r="M8" i="7" s="1"/>
  <c r="K8" i="7"/>
  <c r="H8" i="7"/>
  <c r="E8" i="7"/>
  <c r="C8" i="7"/>
  <c r="N8" i="7" s="1"/>
  <c r="O8" i="7" s="1"/>
  <c r="N7" i="7"/>
  <c r="L7" i="7"/>
  <c r="M7" i="7" s="1"/>
  <c r="K7" i="7"/>
  <c r="H7" i="7"/>
  <c r="E7" i="7"/>
  <c r="C7" i="7"/>
  <c r="L6" i="7"/>
  <c r="M6" i="7" s="1"/>
  <c r="K6" i="7"/>
  <c r="H6" i="7"/>
  <c r="E6" i="7"/>
  <c r="C6" i="7"/>
  <c r="N6" i="7" s="1"/>
  <c r="O6" i="7" s="1"/>
  <c r="X3" i="7"/>
  <c r="U3" i="7"/>
  <c r="L37" i="6"/>
  <c r="M37" i="6" s="1"/>
  <c r="K37" i="6"/>
  <c r="H37" i="6"/>
  <c r="E37" i="6"/>
  <c r="C37" i="6"/>
  <c r="O37" i="6" s="1"/>
  <c r="P37" i="6" s="1"/>
  <c r="L36" i="6"/>
  <c r="M36" i="6" s="1"/>
  <c r="K36" i="6"/>
  <c r="H36" i="6"/>
  <c r="O36" i="6" s="1"/>
  <c r="P36" i="6" s="1"/>
  <c r="E36" i="6"/>
  <c r="C36" i="6"/>
  <c r="N36" i="6" s="1"/>
  <c r="L35" i="6"/>
  <c r="M35" i="6" s="1"/>
  <c r="N35" i="6" s="1"/>
  <c r="K35" i="6"/>
  <c r="H35" i="6"/>
  <c r="O35" i="6" s="1"/>
  <c r="E35" i="6"/>
  <c r="C35" i="6"/>
  <c r="L34" i="6"/>
  <c r="M34" i="6" s="1"/>
  <c r="N34" i="6" s="1"/>
  <c r="K34" i="6"/>
  <c r="H34" i="6"/>
  <c r="O34" i="6" s="1"/>
  <c r="P34" i="6" s="1"/>
  <c r="E34" i="6"/>
  <c r="C34" i="6"/>
  <c r="L33" i="6"/>
  <c r="M33" i="6" s="1"/>
  <c r="K33" i="6"/>
  <c r="H33" i="6"/>
  <c r="E33" i="6"/>
  <c r="C33" i="6"/>
  <c r="O33" i="6" s="1"/>
  <c r="M32" i="6"/>
  <c r="L32" i="6"/>
  <c r="K32" i="6"/>
  <c r="H32" i="6"/>
  <c r="O32" i="6" s="1"/>
  <c r="P32" i="6" s="1"/>
  <c r="E32" i="6"/>
  <c r="C32" i="6"/>
  <c r="N32" i="6" s="1"/>
  <c r="M31" i="6"/>
  <c r="N31" i="6" s="1"/>
  <c r="L31" i="6"/>
  <c r="K31" i="6"/>
  <c r="H31" i="6"/>
  <c r="O31" i="6" s="1"/>
  <c r="P31" i="6" s="1"/>
  <c r="E31" i="6"/>
  <c r="C31" i="6"/>
  <c r="L30" i="6"/>
  <c r="M30" i="6" s="1"/>
  <c r="N30" i="6" s="1"/>
  <c r="K30" i="6"/>
  <c r="H30" i="6"/>
  <c r="O30" i="6" s="1"/>
  <c r="P30" i="6" s="1"/>
  <c r="E30" i="6"/>
  <c r="C30" i="6"/>
  <c r="L29" i="6"/>
  <c r="M29" i="6" s="1"/>
  <c r="K29" i="6"/>
  <c r="H29" i="6"/>
  <c r="E29" i="6"/>
  <c r="C29" i="6"/>
  <c r="O29" i="6" s="1"/>
  <c r="P29" i="6" s="1"/>
  <c r="M28" i="6"/>
  <c r="L28" i="6"/>
  <c r="K28" i="6"/>
  <c r="H28" i="6"/>
  <c r="O28" i="6" s="1"/>
  <c r="P28" i="6" s="1"/>
  <c r="E28" i="6"/>
  <c r="C28" i="6"/>
  <c r="N28" i="6" s="1"/>
  <c r="M27" i="6"/>
  <c r="N27" i="6" s="1"/>
  <c r="L27" i="6"/>
  <c r="K27" i="6"/>
  <c r="H27" i="6"/>
  <c r="O27" i="6" s="1"/>
  <c r="P27" i="6" s="1"/>
  <c r="E27" i="6"/>
  <c r="C27" i="6"/>
  <c r="L26" i="6"/>
  <c r="M26" i="6" s="1"/>
  <c r="N26" i="6" s="1"/>
  <c r="K26" i="6"/>
  <c r="H26" i="6"/>
  <c r="O26" i="6" s="1"/>
  <c r="E26" i="6"/>
  <c r="C26" i="6"/>
  <c r="L25" i="6"/>
  <c r="M25" i="6" s="1"/>
  <c r="K25" i="6"/>
  <c r="H25" i="6"/>
  <c r="E25" i="6"/>
  <c r="C25" i="6"/>
  <c r="O25" i="6" s="1"/>
  <c r="P25" i="6" s="1"/>
  <c r="M24" i="6"/>
  <c r="L24" i="6"/>
  <c r="K24" i="6"/>
  <c r="H24" i="6"/>
  <c r="O24" i="6" s="1"/>
  <c r="P24" i="6" s="1"/>
  <c r="E24" i="6"/>
  <c r="C24" i="6"/>
  <c r="N24" i="6" s="1"/>
  <c r="M23" i="6"/>
  <c r="N23" i="6" s="1"/>
  <c r="L23" i="6"/>
  <c r="K23" i="6"/>
  <c r="H23" i="6"/>
  <c r="O23" i="6" s="1"/>
  <c r="P23" i="6" s="1"/>
  <c r="E23" i="6"/>
  <c r="C23" i="6"/>
  <c r="L22" i="6"/>
  <c r="M22" i="6" s="1"/>
  <c r="N22" i="6" s="1"/>
  <c r="K22" i="6"/>
  <c r="H22" i="6"/>
  <c r="O22" i="6" s="1"/>
  <c r="E22" i="6"/>
  <c r="C22" i="6"/>
  <c r="L21" i="6"/>
  <c r="M21" i="6" s="1"/>
  <c r="K21" i="6"/>
  <c r="H21" i="6"/>
  <c r="E21" i="6"/>
  <c r="C21" i="6"/>
  <c r="O21" i="6" s="1"/>
  <c r="P21" i="6" s="1"/>
  <c r="M20" i="6"/>
  <c r="L20" i="6"/>
  <c r="K20" i="6"/>
  <c r="H20" i="6"/>
  <c r="O20" i="6" s="1"/>
  <c r="P20" i="6" s="1"/>
  <c r="E20" i="6"/>
  <c r="C20" i="6"/>
  <c r="N20" i="6" s="1"/>
  <c r="M19" i="6"/>
  <c r="N19" i="6" s="1"/>
  <c r="L19" i="6"/>
  <c r="K19" i="6"/>
  <c r="H19" i="6"/>
  <c r="O19" i="6" s="1"/>
  <c r="P19" i="6" s="1"/>
  <c r="E19" i="6"/>
  <c r="C19" i="6"/>
  <c r="O18" i="6"/>
  <c r="L18" i="6"/>
  <c r="M18" i="6" s="1"/>
  <c r="N18" i="6" s="1"/>
  <c r="K18" i="6"/>
  <c r="H18" i="6"/>
  <c r="E18" i="6"/>
  <c r="C18" i="6"/>
  <c r="L17" i="6"/>
  <c r="M17" i="6" s="1"/>
  <c r="K17" i="6"/>
  <c r="H17" i="6"/>
  <c r="E17" i="6"/>
  <c r="C17" i="6"/>
  <c r="O17" i="6" s="1"/>
  <c r="P17" i="6" s="1"/>
  <c r="M16" i="6"/>
  <c r="L16" i="6"/>
  <c r="K16" i="6"/>
  <c r="H16" i="6"/>
  <c r="O16" i="6" s="1"/>
  <c r="P16" i="6" s="1"/>
  <c r="E16" i="6"/>
  <c r="C16" i="6"/>
  <c r="N16" i="6" s="1"/>
  <c r="M15" i="6"/>
  <c r="N15" i="6" s="1"/>
  <c r="L15" i="6"/>
  <c r="K15" i="6"/>
  <c r="H15" i="6"/>
  <c r="O15" i="6" s="1"/>
  <c r="P15" i="6" s="1"/>
  <c r="E15" i="6"/>
  <c r="C15" i="6"/>
  <c r="O14" i="6"/>
  <c r="L14" i="6"/>
  <c r="M14" i="6" s="1"/>
  <c r="N14" i="6" s="1"/>
  <c r="K14" i="6"/>
  <c r="H14" i="6"/>
  <c r="E14" i="6"/>
  <c r="C14" i="6"/>
  <c r="L13" i="6"/>
  <c r="M13" i="6" s="1"/>
  <c r="K13" i="6"/>
  <c r="H13" i="6"/>
  <c r="E13" i="6"/>
  <c r="C13" i="6"/>
  <c r="O13" i="6" s="1"/>
  <c r="P13" i="6" s="1"/>
  <c r="M12" i="6"/>
  <c r="L12" i="6"/>
  <c r="K12" i="6"/>
  <c r="H12" i="6"/>
  <c r="O12" i="6" s="1"/>
  <c r="P12" i="6" s="1"/>
  <c r="E12" i="6"/>
  <c r="C12" i="6"/>
  <c r="N12" i="6" s="1"/>
  <c r="M11" i="6"/>
  <c r="N11" i="6" s="1"/>
  <c r="L11" i="6"/>
  <c r="K11" i="6"/>
  <c r="H11" i="6"/>
  <c r="O11" i="6" s="1"/>
  <c r="P11" i="6" s="1"/>
  <c r="E11" i="6"/>
  <c r="C11" i="6"/>
  <c r="O10" i="6"/>
  <c r="L10" i="6"/>
  <c r="M10" i="6" s="1"/>
  <c r="N10" i="6" s="1"/>
  <c r="K10" i="6"/>
  <c r="H10" i="6"/>
  <c r="E10" i="6"/>
  <c r="C10" i="6"/>
  <c r="L9" i="6"/>
  <c r="M9" i="6" s="1"/>
  <c r="K9" i="6"/>
  <c r="H9" i="6"/>
  <c r="E9" i="6"/>
  <c r="C9" i="6"/>
  <c r="O9" i="6" s="1"/>
  <c r="M8" i="6"/>
  <c r="L8" i="6"/>
  <c r="K8" i="6"/>
  <c r="H8" i="6"/>
  <c r="O8" i="6" s="1"/>
  <c r="P8" i="6" s="1"/>
  <c r="E8" i="6"/>
  <c r="C8" i="6"/>
  <c r="N8" i="6" s="1"/>
  <c r="M7" i="6"/>
  <c r="N7" i="6" s="1"/>
  <c r="L7" i="6"/>
  <c r="K7" i="6"/>
  <c r="H7" i="6"/>
  <c r="O7" i="6" s="1"/>
  <c r="P7" i="6" s="1"/>
  <c r="E7" i="6"/>
  <c r="C7" i="6"/>
  <c r="O6" i="6"/>
  <c r="L6" i="6"/>
  <c r="M6" i="6" s="1"/>
  <c r="N6" i="6" s="1"/>
  <c r="K6" i="6"/>
  <c r="H6" i="6"/>
  <c r="E6" i="6"/>
  <c r="C6" i="6"/>
  <c r="L5" i="6"/>
  <c r="M5" i="6" s="1"/>
  <c r="K5" i="6"/>
  <c r="H5" i="6"/>
  <c r="E5" i="6"/>
  <c r="C5" i="6"/>
  <c r="O5" i="6" s="1"/>
  <c r="M4" i="6"/>
  <c r="L4" i="6"/>
  <c r="K4" i="6"/>
  <c r="H4" i="6"/>
  <c r="O4" i="6" s="1"/>
  <c r="P4" i="6" s="1"/>
  <c r="E4" i="6"/>
  <c r="C4" i="6"/>
  <c r="N4" i="6" s="1"/>
  <c r="M3" i="6"/>
  <c r="L3" i="6"/>
  <c r="K3" i="6"/>
  <c r="H3" i="6"/>
  <c r="N3" i="6" s="1"/>
  <c r="E3" i="6"/>
  <c r="C3" i="6"/>
  <c r="O3" i="6" s="1"/>
  <c r="P3" i="6" s="1"/>
  <c r="L2" i="6"/>
  <c r="M2" i="6" s="1"/>
  <c r="K2" i="6"/>
  <c r="H2" i="6"/>
  <c r="E2" i="6"/>
  <c r="C2" i="6"/>
  <c r="O7" i="7" l="1"/>
  <c r="O34" i="7"/>
  <c r="O16" i="7"/>
  <c r="O25" i="7"/>
  <c r="O10" i="7"/>
  <c r="O19" i="7"/>
  <c r="O28" i="7"/>
  <c r="O37" i="7"/>
  <c r="O9" i="7"/>
  <c r="R5" i="7" s="1"/>
  <c r="O18" i="7"/>
  <c r="O27" i="7"/>
  <c r="O36" i="7"/>
  <c r="O13" i="7"/>
  <c r="O22" i="7"/>
  <c r="O31" i="7"/>
  <c r="O14" i="7"/>
  <c r="O23" i="7"/>
  <c r="O32" i="7"/>
  <c r="P22" i="6"/>
  <c r="P18" i="6"/>
  <c r="P14" i="6"/>
  <c r="Q2" i="6"/>
  <c r="P10" i="6"/>
  <c r="P9" i="6"/>
  <c r="P5" i="6"/>
  <c r="P26" i="6"/>
  <c r="P6" i="6"/>
  <c r="P33" i="6"/>
  <c r="P35" i="6"/>
  <c r="N2" i="6"/>
  <c r="O2" i="6"/>
  <c r="P2" i="6" s="1"/>
  <c r="N5" i="6"/>
  <c r="N9" i="6"/>
  <c r="N13" i="6"/>
  <c r="N17" i="6"/>
  <c r="N38" i="6" s="1"/>
  <c r="N21" i="6"/>
  <c r="N25" i="6"/>
  <c r="N29" i="6"/>
  <c r="N33" i="6"/>
  <c r="N37" i="6"/>
  <c r="S3" i="6" l="1"/>
  <c r="D5" i="4" l="1"/>
  <c r="C5" i="4"/>
  <c r="C9" i="4" s="1"/>
  <c r="B5" i="4"/>
  <c r="G12" i="4" l="1"/>
  <c r="B7" i="4"/>
  <c r="D7" i="4"/>
  <c r="C7" i="4"/>
  <c r="C10" i="4" l="1"/>
  <c r="C11" i="4" s="1"/>
  <c r="C12" i="4" s="1"/>
  <c r="C10" i="3"/>
  <c r="H13" i="3" s="1"/>
  <c r="E6" i="3"/>
  <c r="E8" i="3" s="1"/>
  <c r="D6" i="3"/>
  <c r="C6" i="3"/>
  <c r="B6" i="3"/>
  <c r="I15" i="4" l="1"/>
  <c r="I12" i="4"/>
  <c r="B8" i="3"/>
  <c r="C8" i="3"/>
  <c r="D8" i="3"/>
  <c r="C11" i="3" l="1"/>
  <c r="C12" i="3" s="1"/>
  <c r="C13" i="3" s="1"/>
  <c r="J16" i="3" l="1"/>
  <c r="J13" i="3"/>
  <c r="L19" i="2"/>
  <c r="C19" i="2"/>
  <c r="R19" i="2" s="1"/>
  <c r="L18" i="2"/>
  <c r="C18" i="2"/>
  <c r="R18" i="2" s="1"/>
  <c r="L17" i="2"/>
  <c r="C17" i="2"/>
  <c r="R17" i="2" s="1"/>
  <c r="B17" i="2"/>
  <c r="D17" i="2" s="1"/>
  <c r="I9" i="2"/>
  <c r="F19" i="2" s="1"/>
  <c r="G19" i="2" s="1"/>
  <c r="T19" i="2" s="1"/>
  <c r="H9" i="2"/>
  <c r="B19" i="2" s="1"/>
  <c r="D19" i="2" s="1"/>
  <c r="E19" i="2" s="1"/>
  <c r="N19" i="2" s="1"/>
  <c r="I8" i="2"/>
  <c r="H8" i="2"/>
  <c r="B18" i="2" s="1"/>
  <c r="D18" i="2" s="1"/>
  <c r="E18" i="2" s="1"/>
  <c r="N18" i="2" s="1"/>
  <c r="I7" i="2"/>
  <c r="H7" i="2"/>
  <c r="E17" i="2" l="1"/>
  <c r="D21" i="2"/>
  <c r="F18" i="2"/>
  <c r="G18" i="2" s="1"/>
  <c r="T18" i="2" s="1"/>
  <c r="F17" i="2"/>
  <c r="G17" i="2" l="1"/>
  <c r="F21" i="2"/>
  <c r="N17" i="2"/>
  <c r="E21" i="2"/>
  <c r="G21" i="2" l="1"/>
  <c r="T17" i="2"/>
</calcChain>
</file>

<file path=xl/sharedStrings.xml><?xml version="1.0" encoding="utf-8"?>
<sst xmlns="http://schemas.openxmlformats.org/spreadsheetml/2006/main" count="161" uniqueCount="106">
  <si>
    <t>【说明】</t>
    <phoneticPr fontId="1" type="noConversion"/>
  </si>
  <si>
    <t>本部分请参考ppt第13、20页，根据上面要求标准书写！</t>
    <phoneticPr fontId="1" type="noConversion"/>
  </si>
  <si>
    <t>v1.2</t>
    <phoneticPr fontId="1" type="noConversion"/>
  </si>
  <si>
    <t>说明：仅供参考，数据、进位等有误概不负责。未明确标注留多少位有效数字的自行判断。</t>
    <phoneticPr fontId="1" type="noConversion"/>
  </si>
  <si>
    <t>务必给出公式，计算过程，百分误差及误差分析！</t>
    <phoneticPr fontId="1" type="noConversion"/>
  </si>
  <si>
    <r>
      <t>下方有效数字位数基本上都检查过了</t>
    </r>
    <r>
      <rPr>
        <b/>
        <sz val="16"/>
        <color rgb="FFFF0000"/>
        <rFont val="宋体"/>
        <family val="3"/>
        <charset val="134"/>
      </rPr>
      <t>，但计算时请务必再次检查！！</t>
    </r>
    <phoneticPr fontId="1" type="noConversion"/>
  </si>
  <si>
    <t>自行填写</t>
    <phoneticPr fontId="1" type="noConversion"/>
  </si>
  <si>
    <t>自动计算</t>
    <phoneticPr fontId="1" type="noConversion"/>
  </si>
  <si>
    <t>序号</t>
    <phoneticPr fontId="1" type="noConversion"/>
  </si>
  <si>
    <r>
      <t>发生器频率
(</t>
    </r>
    <r>
      <rPr>
        <b/>
        <i/>
        <sz val="20"/>
        <color rgb="FFFF0000"/>
        <rFont val="宋体"/>
        <family val="3"/>
        <charset val="134"/>
      </rPr>
      <t>k</t>
    </r>
    <r>
      <rPr>
        <sz val="14"/>
        <color rgb="FFFF0000"/>
        <rFont val="宋体"/>
        <family val="3"/>
        <charset val="134"/>
      </rPr>
      <t>Hz</t>
    </r>
    <r>
      <rPr>
        <sz val="11"/>
        <color theme="1"/>
        <rFont val="宋体"/>
        <family val="2"/>
        <charset val="134"/>
      </rPr>
      <t>)</t>
    </r>
    <phoneticPr fontId="1" type="noConversion"/>
  </si>
  <si>
    <t>发生器电压幅度
Up-p(V)</t>
    <phoneticPr fontId="1" type="noConversion"/>
  </si>
  <si>
    <t>垂直偏转系数
(V/div)</t>
    <phoneticPr fontId="1" type="noConversion"/>
  </si>
  <si>
    <t>Y
(div)</t>
    <phoneticPr fontId="1" type="noConversion"/>
  </si>
  <si>
    <t>水平偏转系数
(ms/div)</t>
    <phoneticPr fontId="1" type="noConversion"/>
  </si>
  <si>
    <t>X
(div)</t>
    <phoneticPr fontId="1" type="noConversion"/>
  </si>
  <si>
    <t>测量Vp-p
(V)</t>
    <phoneticPr fontId="1" type="noConversion"/>
  </si>
  <si>
    <t>测量周期T
(ms)</t>
    <phoneticPr fontId="1" type="noConversion"/>
  </si>
  <si>
    <t>三位,估一位</t>
    <phoneticPr fontId="1" type="noConversion"/>
  </si>
  <si>
    <t>三位有效数字</t>
    <phoneticPr fontId="1" type="noConversion"/>
  </si>
  <si>
    <t>====================【以下内容自动计算】====================</t>
    <phoneticPr fontId="1" type="noConversion"/>
  </si>
  <si>
    <t>(本列是引用)</t>
    <phoneticPr fontId="1" type="noConversion"/>
  </si>
  <si>
    <t>↓本列不用记↓</t>
    <phoneticPr fontId="1" type="noConversion"/>
  </si>
  <si>
    <t>测量Vp-p/V</t>
    <phoneticPr fontId="1" type="noConversion"/>
  </si>
  <si>
    <r>
      <rPr>
        <b/>
        <sz val="11"/>
        <color rgb="FFFF0000"/>
        <rFont val="宋体"/>
        <family val="3"/>
        <charset val="134"/>
      </rPr>
      <t>发生器</t>
    </r>
    <r>
      <rPr>
        <sz val="11"/>
        <color theme="1"/>
        <rFont val="宋体"/>
        <family val="2"/>
        <charset val="134"/>
      </rPr>
      <t>周期T0/ms</t>
    </r>
    <phoneticPr fontId="1" type="noConversion"/>
  </si>
  <si>
    <t>电压绝对误差(V)</t>
    <phoneticPr fontId="1" type="noConversion"/>
  </si>
  <si>
    <t>电压百分误差</t>
    <phoneticPr fontId="1" type="noConversion"/>
  </si>
  <si>
    <t>周期绝对误差(ms)</t>
    <phoneticPr fontId="1" type="noConversion"/>
  </si>
  <si>
    <t>周期百分误差</t>
    <phoneticPr fontId="1" type="noConversion"/>
  </si>
  <si>
    <t>序号1</t>
    <phoneticPr fontId="1" type="noConversion"/>
  </si>
  <si>
    <t>→→→</t>
    <phoneticPr fontId="1" type="noConversion"/>
  </si>
  <si>
    <t>结果表达：</t>
    <phoneticPr fontId="1" type="noConversion"/>
  </si>
  <si>
    <t>序号1：</t>
    <phoneticPr fontId="1" type="noConversion"/>
  </si>
  <si>
    <t>Vpp = (</t>
    <phoneticPr fontId="1" type="noConversion"/>
  </si>
  <si>
    <t>( 1 ±</t>
    <phoneticPr fontId="1" type="noConversion"/>
  </si>
  <si>
    <t>) V</t>
    <phoneticPr fontId="1" type="noConversion"/>
  </si>
  <si>
    <t>,</t>
    <phoneticPr fontId="1" type="noConversion"/>
  </si>
  <si>
    <t>T =</t>
    <phoneticPr fontId="1" type="noConversion"/>
  </si>
  <si>
    <t>) ms</t>
    <phoneticPr fontId="1" type="noConversion"/>
  </si>
  <si>
    <t>序号2</t>
  </si>
  <si>
    <t>序号2：</t>
  </si>
  <si>
    <t>Vpp =</t>
    <phoneticPr fontId="1" type="noConversion"/>
  </si>
  <si>
    <t>序号3</t>
  </si>
  <si>
    <t>序号3：</t>
  </si>
  <si>
    <t>( 1 ±</t>
  </si>
  <si>
    <t>平均值</t>
    <phoneticPr fontId="1" type="noConversion"/>
  </si>
  <si>
    <t>↑本列不用记↑</t>
    <phoneticPr fontId="1" type="noConversion"/>
  </si>
  <si>
    <t>制作：</t>
    <phoneticPr fontId="13" type="noConversion"/>
  </si>
  <si>
    <t>机械学院 24级 momooo</t>
    <phoneticPr fontId="1" type="noConversion"/>
  </si>
  <si>
    <t>Last Updated:</t>
    <phoneticPr fontId="1" type="noConversion"/>
  </si>
  <si>
    <t>2025.3.16  9:12</t>
    <phoneticPr fontId="1" type="noConversion"/>
  </si>
  <si>
    <t>v0.1</t>
    <phoneticPr fontId="1" type="noConversion"/>
  </si>
  <si>
    <t>Nx</t>
    <phoneticPr fontId="1" type="noConversion"/>
  </si>
  <si>
    <t>Ny</t>
    <phoneticPr fontId="1" type="noConversion"/>
  </si>
  <si>
    <t>fx</t>
    <phoneticPr fontId="1" type="noConversion"/>
  </si>
  <si>
    <t>←←←只用输入这行数据</t>
    <phoneticPr fontId="1" type="noConversion"/>
  </si>
  <si>
    <t>fy</t>
    <phoneticPr fontId="1" type="noConversion"/>
  </si>
  <si>
    <t>()^2/3</t>
    <phoneticPr fontId="1" type="noConversion"/>
  </si>
  <si>
    <t>fy平均值</t>
    <phoneticPr fontId="1" type="noConversion"/>
  </si>
  <si>
    <r>
      <t>标准误差</t>
    </r>
    <r>
      <rPr>
        <sz val="11"/>
        <color theme="1"/>
        <rFont val="Calibri"/>
        <family val="2"/>
        <charset val="161"/>
      </rPr>
      <t>σ</t>
    </r>
    <phoneticPr fontId="1" type="noConversion"/>
  </si>
  <si>
    <t>与不确定度同末位</t>
    <phoneticPr fontId="13" type="noConversion"/>
  </si>
  <si>
    <t>保留一位</t>
    <phoneticPr fontId="13" type="noConversion"/>
  </si>
  <si>
    <t>A类标准不确定度uA</t>
    <phoneticPr fontId="1" type="noConversion"/>
  </si>
  <si>
    <t>↓↓↓</t>
    <phoneticPr fontId="13" type="noConversion"/>
  </si>
  <si>
    <t>A类不确定度UA</t>
    <phoneticPr fontId="1" type="noConversion"/>
  </si>
  <si>
    <t>数据表达：</t>
    <phoneticPr fontId="13" type="noConversion"/>
  </si>
  <si>
    <t>fy =</t>
    <phoneticPr fontId="13" type="noConversion"/>
  </si>
  <si>
    <t>±</t>
    <phoneticPr fontId="13" type="noConversion"/>
  </si>
  <si>
    <t>Hz</t>
    <phoneticPr fontId="13" type="noConversion"/>
  </si>
  <si>
    <t>(P=95.5%)</t>
    <phoneticPr fontId="13" type="noConversion"/>
  </si>
  <si>
    <t>n=4, p=95.5%</t>
    <phoneticPr fontId="1" type="noConversion"/>
  </si>
  <si>
    <t>tp</t>
    <phoneticPr fontId="1" type="noConversion"/>
  </si>
  <si>
    <t xml:space="preserve">Ur = </t>
    <phoneticPr fontId="1" type="noConversion"/>
  </si>
  <si>
    <t>说    明：仅供参考，数据、进位等有误概不负责。未明确标注留多少位有效数字的自行判断。</t>
    <phoneticPr fontId="13" type="noConversion"/>
  </si>
  <si>
    <t>操作方法：自行输入蓝底部分数据即可，全自动计算，其余部分不用动。</t>
    <phoneticPr fontId="13" type="noConversion"/>
  </si>
  <si>
    <t>2025.3.15  28:24</t>
    <phoneticPr fontId="1" type="noConversion"/>
  </si>
  <si>
    <t>v0</t>
    <phoneticPr fontId="1" type="noConversion"/>
  </si>
  <si>
    <t>N</t>
    <phoneticPr fontId="1" type="noConversion"/>
  </si>
  <si>
    <t>()^2/2</t>
    <phoneticPr fontId="1" type="noConversion"/>
  </si>
  <si>
    <t>n=3, p=95.5%</t>
    <phoneticPr fontId="1" type="noConversion"/>
  </si>
  <si>
    <t>（选做实验提供参考表格，但不负责维护）</t>
    <phoneticPr fontId="1" type="noConversion"/>
  </si>
  <si>
    <t>输出电压Vpp/V</t>
    <phoneticPr fontId="1" type="noConversion"/>
  </si>
  <si>
    <t>输出电压Vrms/V</t>
    <phoneticPr fontId="1" type="noConversion"/>
  </si>
  <si>
    <t>输入电压频率f/Hz</t>
    <phoneticPr fontId="1" type="noConversion"/>
  </si>
  <si>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>/(rad/s)</t>
    </r>
    <phoneticPr fontId="1" type="noConversion"/>
  </si>
  <si>
    <r>
      <t>R/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</si>
  <si>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C/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F</t>
    </r>
    <phoneticPr fontId="1" type="noConversion"/>
  </si>
  <si>
    <t>C/F</t>
    <phoneticPr fontId="1" type="noConversion"/>
  </si>
  <si>
    <t>Dy/(V/div)</t>
    <phoneticPr fontId="1" type="noConversion"/>
  </si>
  <si>
    <t>Y/div</t>
    <phoneticPr fontId="1" type="noConversion"/>
  </si>
  <si>
    <t>lgf</t>
    <phoneticPr fontId="1" type="noConversion"/>
  </si>
  <si>
    <t>测量计算值Upp/V</t>
    <phoneticPr fontId="1" type="noConversion"/>
  </si>
  <si>
    <t>测量有效值Urms/V</t>
    <phoneticPr fontId="1" type="noConversion"/>
  </si>
  <si>
    <t>反推R值</t>
    <phoneticPr fontId="1" type="noConversion"/>
  </si>
  <si>
    <t>理论值</t>
    <phoneticPr fontId="1" type="noConversion"/>
  </si>
  <si>
    <t>平均百分误差</t>
    <phoneticPr fontId="1" type="noConversion"/>
  </si>
  <si>
    <r>
      <t>电阻/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</si>
  <si>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电容/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F</t>
    </r>
    <phoneticPr fontId="1" type="noConversion"/>
  </si>
  <si>
    <t>输入电压幅值Upp/V</t>
    <phoneticPr fontId="1" type="noConversion"/>
  </si>
  <si>
    <r>
      <t>修正后电阻/</t>
    </r>
    <r>
      <rPr>
        <sz val="11"/>
        <color theme="1"/>
        <rFont val="Calibri"/>
        <family val="2"/>
        <charset val="161"/>
      </rPr>
      <t>Ω</t>
    </r>
    <phoneticPr fontId="1" type="noConversion"/>
  </si>
  <si>
    <t>电容/F</t>
    <phoneticPr fontId="1" type="noConversion"/>
  </si>
  <si>
    <t>输入电压有效值Urms/V</t>
    <phoneticPr fontId="1" type="noConversion"/>
  </si>
  <si>
    <t>输入电压频率f
Hz</t>
    <phoneticPr fontId="1" type="noConversion"/>
  </si>
  <si>
    <t>输出电压幅值Upp/V</t>
    <phoneticPr fontId="1" type="noConversion"/>
  </si>
  <si>
    <t>输出电压有效值
Urms/V</t>
    <phoneticPr fontId="1" type="noConversion"/>
  </si>
  <si>
    <t>输出电压理论值(修正后)UTHErms
V</t>
    <phoneticPr fontId="1" type="noConversion"/>
  </si>
  <si>
    <t>百分误差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</si>
</sst>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.000000000"/>
    <numFmt numFmtId="177" formatCode="0.000"/>
    <numFmt numFmtId="178" formatCode="0.0000000000"/>
    <numFmt numFmtId="179" formatCode="0.000000"/>
    <numFmt numFmtId="180" formatCode="0.0000000"/>
    <numFmt numFmtId="181" formatCode="0.000_);[Red]\(0.000\)"/>
    <numFmt numFmtId="182" formatCode="0.000%"/>
    <numFmt numFmtId="183" formatCode="0.0000"/>
    <numFmt numFmtId="184" formatCode="0.0000_);[Red]\(0.0000\)"/>
    <numFmt numFmtId="185" formatCode="0.0000%"/>
    <numFmt numFmtId="186" formatCode="0.0%"/>
    <numFmt numFmtId="187" formatCode="0.0000000%"/>
    <numFmt numFmtId="188" formatCode="0.0"/>
  </numFmts>
  <fonts count="16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宋体"/>
      <family val="2"/>
      <charset val="134"/>
    </font>
    <font>
      <b/>
      <sz val="14"/>
      <color theme="1"/>
      <name val="宋体"/>
      <family val="3"/>
      <charset val="134"/>
    </font>
    <font>
      <sz val="16"/>
      <color rgb="FFFF0000"/>
      <name val="宋体"/>
      <family val="3"/>
      <charset val="134"/>
    </font>
    <font>
      <b/>
      <sz val="16"/>
      <color rgb="FFFF0000"/>
      <name val="宋体"/>
      <family val="3"/>
      <charset val="134"/>
    </font>
    <font>
      <b/>
      <sz val="16"/>
      <color theme="0"/>
      <name val="宋体"/>
      <family val="3"/>
      <charset val="134"/>
    </font>
    <font>
      <sz val="11"/>
      <color theme="0"/>
      <name val="宋体"/>
      <family val="3"/>
      <charset val="134"/>
    </font>
    <font>
      <b/>
      <sz val="18"/>
      <color rgb="FFFF0000"/>
      <name val="宋体"/>
      <family val="3"/>
      <charset val="134"/>
    </font>
    <font>
      <b/>
      <i/>
      <sz val="20"/>
      <color rgb="FFFF0000"/>
      <name val="宋体"/>
      <family val="3"/>
      <charset val="134"/>
    </font>
    <font>
      <sz val="14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Calibri"/>
      <family val="2"/>
      <charset val="161"/>
    </font>
    <font>
      <sz val="11"/>
      <color theme="1"/>
      <name val="宋体"/>
      <family val="2"/>
      <charset val="16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>
      <alignment vertical="center"/>
    </xf>
    <xf numFmtId="176" fontId="0" fillId="3" borderId="0" xfId="0" applyNumberFormat="1" applyFill="1">
      <alignment vertical="center"/>
    </xf>
    <xf numFmtId="177" fontId="0" fillId="3" borderId="0" xfId="0" applyNumberFormat="1" applyFill="1">
      <alignment vertical="center"/>
    </xf>
    <xf numFmtId="0" fontId="0" fillId="3" borderId="0" xfId="0" applyFill="1">
      <alignment vertical="center"/>
    </xf>
    <xf numFmtId="2" fontId="0" fillId="3" borderId="0" xfId="0" applyNumberFormat="1" applyFill="1">
      <alignment vertical="center"/>
    </xf>
    <xf numFmtId="2" fontId="0" fillId="0" borderId="0" xfId="0" applyNumberFormat="1">
      <alignment vertical="center"/>
    </xf>
    <xf numFmtId="177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6" fontId="0" fillId="3" borderId="9" xfId="0" applyNumberFormat="1" applyFill="1" applyBorder="1">
      <alignment vertical="center"/>
    </xf>
    <xf numFmtId="177" fontId="0" fillId="3" borderId="9" xfId="0" applyNumberFormat="1" applyFill="1" applyBorder="1">
      <alignment vertical="center"/>
    </xf>
    <xf numFmtId="0" fontId="0" fillId="3" borderId="9" xfId="0" applyFill="1" applyBorder="1">
      <alignment vertical="center"/>
    </xf>
    <xf numFmtId="2" fontId="0" fillId="3" borderId="9" xfId="0" applyNumberFormat="1" applyFill="1" applyBorder="1">
      <alignment vertical="center"/>
    </xf>
    <xf numFmtId="2" fontId="0" fillId="0" borderId="9" xfId="0" applyNumberFormat="1" applyBorder="1">
      <alignment vertical="center"/>
    </xf>
    <xf numFmtId="177" fontId="0" fillId="0" borderId="10" xfId="0" applyNumberFormat="1" applyBorder="1">
      <alignment vertical="center"/>
    </xf>
    <xf numFmtId="0" fontId="5" fillId="0" borderId="4" xfId="0" quotePrefix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11" fillId="4" borderId="2" xfId="0" applyFont="1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1" xfId="0" applyBorder="1">
      <alignment vertical="center"/>
    </xf>
    <xf numFmtId="2" fontId="0" fillId="0" borderId="12" xfId="0" applyNumberFormat="1" applyBorder="1">
      <alignment vertical="center"/>
    </xf>
    <xf numFmtId="178" fontId="0" fillId="4" borderId="0" xfId="0" applyNumberFormat="1" applyFill="1">
      <alignment vertical="center"/>
    </xf>
    <xf numFmtId="10" fontId="0" fillId="4" borderId="6" xfId="1" applyNumberFormat="1" applyFont="1" applyFill="1" applyBorder="1">
      <alignment vertical="center"/>
    </xf>
    <xf numFmtId="179" fontId="0" fillId="0" borderId="11" xfId="0" applyNumberFormat="1" applyBorder="1">
      <alignment vertical="center"/>
    </xf>
    <xf numFmtId="0" fontId="0" fillId="4" borderId="0" xfId="0" applyFill="1">
      <alignment vertical="center"/>
    </xf>
    <xf numFmtId="177" fontId="0" fillId="4" borderId="0" xfId="0" applyNumberFormat="1" applyFill="1">
      <alignment vertical="center"/>
    </xf>
    <xf numFmtId="10" fontId="0" fillId="4" borderId="0" xfId="1" applyNumberFormat="1" applyFont="1" applyFill="1">
      <alignment vertical="center"/>
    </xf>
    <xf numFmtId="2" fontId="0" fillId="0" borderId="11" xfId="0" applyNumberFormat="1" applyBorder="1">
      <alignment vertical="center"/>
    </xf>
    <xf numFmtId="0" fontId="0" fillId="0" borderId="13" xfId="0" applyBorder="1">
      <alignment vertical="center"/>
    </xf>
    <xf numFmtId="2" fontId="0" fillId="0" borderId="13" xfId="0" applyNumberFormat="1" applyBorder="1">
      <alignment vertical="center"/>
    </xf>
    <xf numFmtId="178" fontId="0" fillId="4" borderId="10" xfId="0" applyNumberFormat="1" applyFill="1" applyBorder="1">
      <alignment vertical="center"/>
    </xf>
    <xf numFmtId="10" fontId="0" fillId="4" borderId="10" xfId="1" applyNumberFormat="1" applyFont="1" applyFill="1" applyBorder="1">
      <alignment vertical="center"/>
    </xf>
    <xf numFmtId="179" fontId="0" fillId="0" borderId="13" xfId="0" applyNumberFormat="1" applyBorder="1">
      <alignment vertical="center"/>
    </xf>
    <xf numFmtId="0" fontId="0" fillId="4" borderId="6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10" fontId="0" fillId="4" borderId="2" xfId="0" applyNumberFormat="1" applyFill="1" applyBorder="1">
      <alignment vertical="center"/>
    </xf>
    <xf numFmtId="10" fontId="0" fillId="4" borderId="3" xfId="0" applyNumberFormat="1" applyFill="1" applyBorder="1">
      <alignment vertical="center"/>
    </xf>
    <xf numFmtId="0" fontId="0" fillId="0" borderId="0" xfId="0" applyAlignment="1"/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6" xfId="0" applyBorder="1">
      <alignment vertical="center"/>
    </xf>
    <xf numFmtId="179" fontId="0" fillId="5" borderId="0" xfId="0" applyNumberFormat="1" applyFill="1">
      <alignment vertical="center"/>
    </xf>
    <xf numFmtId="179" fontId="0" fillId="5" borderId="6" xfId="0" applyNumberFormat="1" applyFill="1" applyBorder="1">
      <alignment vertical="center"/>
    </xf>
    <xf numFmtId="179" fontId="0" fillId="4" borderId="9" xfId="0" applyNumberFormat="1" applyFill="1" applyBorder="1">
      <alignment vertical="center"/>
    </xf>
    <xf numFmtId="179" fontId="0" fillId="4" borderId="10" xfId="0" applyNumberFormat="1" applyFill="1" applyBorder="1">
      <alignment vertical="center"/>
    </xf>
    <xf numFmtId="179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4" borderId="12" xfId="0" applyFill="1" applyBorder="1">
      <alignment vertical="center"/>
    </xf>
    <xf numFmtId="180" fontId="0" fillId="4" borderId="15" xfId="0" applyNumberFormat="1" applyFill="1" applyBorder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4" borderId="13" xfId="0" applyFill="1" applyBorder="1">
      <alignment vertical="center"/>
    </xf>
    <xf numFmtId="0" fontId="0" fillId="4" borderId="10" xfId="0" applyFill="1" applyBorder="1">
      <alignment vertical="center"/>
    </xf>
    <xf numFmtId="0" fontId="11" fillId="4" borderId="12" xfId="0" applyFont="1" applyFill="1" applyBorder="1" applyAlignment="1">
      <alignment horizontal="right"/>
    </xf>
    <xf numFmtId="177" fontId="0" fillId="4" borderId="14" xfId="0" applyNumberFormat="1" applyFill="1" applyBorder="1" applyAlignment="1">
      <alignment horizontal="right"/>
    </xf>
    <xf numFmtId="0" fontId="0" fillId="4" borderId="14" xfId="0" applyFill="1" applyBorder="1" applyAlignment="1"/>
    <xf numFmtId="181" fontId="0" fillId="4" borderId="14" xfId="0" applyNumberFormat="1" applyFill="1" applyBorder="1" applyAlignment="1">
      <alignment horizontal="left"/>
    </xf>
    <xf numFmtId="0" fontId="0" fillId="4" borderId="15" xfId="0" applyFill="1" applyBorder="1" applyAlignment="1"/>
    <xf numFmtId="0" fontId="0" fillId="4" borderId="13" xfId="0" applyFill="1" applyBorder="1" applyAlignment="1"/>
    <xf numFmtId="0" fontId="0" fillId="4" borderId="9" xfId="0" applyFill="1" applyBorder="1" applyAlignment="1">
      <alignment horizontal="right"/>
    </xf>
    <xf numFmtId="0" fontId="0" fillId="4" borderId="9" xfId="0" applyFill="1" applyBorder="1" applyAlignment="1"/>
    <xf numFmtId="10" fontId="0" fillId="4" borderId="10" xfId="0" applyNumberFormat="1" applyFill="1" applyBorder="1" applyAlignment="1">
      <alignment horizontal="left"/>
    </xf>
    <xf numFmtId="182" fontId="0" fillId="0" borderId="0" xfId="1" applyNumberFormat="1" applyFont="1">
      <alignment vertical="center"/>
    </xf>
    <xf numFmtId="183" fontId="0" fillId="4" borderId="14" xfId="0" applyNumberFormat="1" applyFill="1" applyBorder="1" applyAlignment="1">
      <alignment horizontal="right"/>
    </xf>
    <xf numFmtId="184" fontId="0" fillId="4" borderId="14" xfId="0" applyNumberFormat="1" applyFill="1" applyBorder="1" applyAlignment="1">
      <alignment horizontal="left"/>
    </xf>
    <xf numFmtId="185" fontId="0" fillId="0" borderId="0" xfId="1" applyNumberFormat="1" applyFont="1">
      <alignment vertical="center"/>
    </xf>
    <xf numFmtId="0" fontId="15" fillId="0" borderId="0" xfId="0" applyFont="1">
      <alignment vertical="center"/>
    </xf>
    <xf numFmtId="177" fontId="0" fillId="0" borderId="0" xfId="0" applyNumberFormat="1">
      <alignment vertical="center"/>
    </xf>
    <xf numFmtId="186" fontId="0" fillId="0" borderId="0" xfId="1" applyNumberFormat="1" applyFont="1">
      <alignment vertical="center"/>
    </xf>
    <xf numFmtId="187" fontId="0" fillId="0" borderId="0" xfId="0" applyNumberFormat="1">
      <alignment vertical="center"/>
    </xf>
    <xf numFmtId="188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vertical="center" wrapText="1"/>
    </xf>
    <xf numFmtId="177" fontId="0" fillId="0" borderId="0" xfId="0" applyNumberFormat="1" applyAlignment="1">
      <alignment horizontal="center" vertical="center"/>
    </xf>
    <xf numFmtId="10" fontId="0" fillId="0" borderId="0" xfId="1" applyNumberFormat="1" applyFont="1">
      <alignment vertical="center"/>
    </xf>
    <xf numFmtId="183" fontId="0" fillId="0" borderId="0" xfId="0" applyNumberFormat="1">
      <alignment vertical="center"/>
    </xf>
    <xf numFmtId="183" fontId="0" fillId="0" borderId="0" xfId="0" applyNumberForma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'选做 预处理'!$L$1</c:f>
              <c:strCache>
                <c:ptCount val="1"/>
                <c:pt idx="0">
                  <c:v>测量计算值Upp/V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'选做 预处理'!$K$2:$K$37</c:f>
              <c:numCache>
                <c:formatCode>0.000</c:formatCode>
                <c:ptCount val="36"/>
                <c:pt idx="0">
                  <c:v>1.6989700043360187</c:v>
                </c:pt>
                <c:pt idx="1">
                  <c:v>2</c:v>
                </c:pt>
                <c:pt idx="2">
                  <c:v>2.6989700043360187</c:v>
                </c:pt>
                <c:pt idx="3">
                  <c:v>3</c:v>
                </c:pt>
                <c:pt idx="4">
                  <c:v>3.3010299956639813</c:v>
                </c:pt>
                <c:pt idx="5">
                  <c:v>3.6989700043360187</c:v>
                </c:pt>
                <c:pt idx="6">
                  <c:v>3.7781512503836434</c:v>
                </c:pt>
                <c:pt idx="7">
                  <c:v>3.8750612633917001</c:v>
                </c:pt>
                <c:pt idx="8">
                  <c:v>3.9542425094393248</c:v>
                </c:pt>
                <c:pt idx="9">
                  <c:v>4</c:v>
                </c:pt>
                <c:pt idx="10">
                  <c:v>4.0413926851582254</c:v>
                </c:pt>
                <c:pt idx="11">
                  <c:v>4.0791812460476251</c:v>
                </c:pt>
                <c:pt idx="12">
                  <c:v>4.1139433523068369</c:v>
                </c:pt>
                <c:pt idx="13">
                  <c:v>4.1461280356782382</c:v>
                </c:pt>
                <c:pt idx="14">
                  <c:v>4.1760912590556813</c:v>
                </c:pt>
                <c:pt idx="15">
                  <c:v>4.204119982655925</c:v>
                </c:pt>
                <c:pt idx="16">
                  <c:v>4.2304489213782741</c:v>
                </c:pt>
                <c:pt idx="17">
                  <c:v>4.2552725051033065</c:v>
                </c:pt>
                <c:pt idx="18">
                  <c:v>4.2787536009528289</c:v>
                </c:pt>
                <c:pt idx="19">
                  <c:v>4.3010299956639813</c:v>
                </c:pt>
                <c:pt idx="20">
                  <c:v>4.3521825181113627</c:v>
                </c:pt>
                <c:pt idx="21">
                  <c:v>4.3979400086720375</c:v>
                </c:pt>
                <c:pt idx="22">
                  <c:v>4.4393326938302629</c:v>
                </c:pt>
                <c:pt idx="23">
                  <c:v>4.4771212547196626</c:v>
                </c:pt>
                <c:pt idx="24">
                  <c:v>4.5440680443502757</c:v>
                </c:pt>
                <c:pt idx="25">
                  <c:v>4.5740312677277188</c:v>
                </c:pt>
                <c:pt idx="26">
                  <c:v>4.653212513775344</c:v>
                </c:pt>
                <c:pt idx="27">
                  <c:v>4.6989700043360187</c:v>
                </c:pt>
                <c:pt idx="28">
                  <c:v>4.8129133566428557</c:v>
                </c:pt>
                <c:pt idx="29">
                  <c:v>4.8450980400142569</c:v>
                </c:pt>
                <c:pt idx="30">
                  <c:v>4.8750612633917001</c:v>
                </c:pt>
                <c:pt idx="31">
                  <c:v>4.9294189257142929</c:v>
                </c:pt>
                <c:pt idx="32">
                  <c:v>5</c:v>
                </c:pt>
                <c:pt idx="33">
                  <c:v>5.0969100130080562</c:v>
                </c:pt>
                <c:pt idx="34">
                  <c:v>5.1760912590556813</c:v>
                </c:pt>
                <c:pt idx="35">
                  <c:v>5.3010299956639813</c:v>
                </c:pt>
              </c:numCache>
            </c:numRef>
          </c:xVal>
          <c:yVal>
            <c:numRef>
              <c:f>'选做 预处理'!$L$2:$L$37</c:f>
              <c:numCache>
                <c:formatCode>General</c:formatCode>
                <c:ptCount val="36"/>
                <c:pt idx="0">
                  <c:v>4.9400000000000004</c:v>
                </c:pt>
                <c:pt idx="1">
                  <c:v>5</c:v>
                </c:pt>
                <c:pt idx="2">
                  <c:v>5.05</c:v>
                </c:pt>
                <c:pt idx="3">
                  <c:v>5</c:v>
                </c:pt>
                <c:pt idx="4">
                  <c:v>4.93</c:v>
                </c:pt>
                <c:pt idx="5">
                  <c:v>4.47</c:v>
                </c:pt>
                <c:pt idx="6">
                  <c:v>4.32</c:v>
                </c:pt>
                <c:pt idx="7">
                  <c:v>4</c:v>
                </c:pt>
                <c:pt idx="8">
                  <c:v>3.7</c:v>
                </c:pt>
                <c:pt idx="9">
                  <c:v>3.5</c:v>
                </c:pt>
                <c:pt idx="10">
                  <c:v>3.33</c:v>
                </c:pt>
                <c:pt idx="11">
                  <c:v>3.15</c:v>
                </c:pt>
                <c:pt idx="12">
                  <c:v>3</c:v>
                </c:pt>
                <c:pt idx="13">
                  <c:v>2.9</c:v>
                </c:pt>
                <c:pt idx="14">
                  <c:v>2.75</c:v>
                </c:pt>
                <c:pt idx="15">
                  <c:v>2.6</c:v>
                </c:pt>
                <c:pt idx="16">
                  <c:v>2.4849999999999999</c:v>
                </c:pt>
                <c:pt idx="17">
                  <c:v>2.375</c:v>
                </c:pt>
                <c:pt idx="18">
                  <c:v>2.2749999999999999</c:v>
                </c:pt>
                <c:pt idx="19">
                  <c:v>2.1749999999999998</c:v>
                </c:pt>
                <c:pt idx="20">
                  <c:v>2</c:v>
                </c:pt>
                <c:pt idx="21">
                  <c:v>1.825</c:v>
                </c:pt>
                <c:pt idx="22">
                  <c:v>1.6850000000000001</c:v>
                </c:pt>
                <c:pt idx="23">
                  <c:v>1.55</c:v>
                </c:pt>
                <c:pt idx="24">
                  <c:v>1.35</c:v>
                </c:pt>
                <c:pt idx="25">
                  <c:v>1.2749999999999999</c:v>
                </c:pt>
                <c:pt idx="26">
                  <c:v>1.0900000000000001</c:v>
                </c:pt>
                <c:pt idx="27">
                  <c:v>0.9900000000000001</c:v>
                </c:pt>
                <c:pt idx="28">
                  <c:v>0.77400000000000002</c:v>
                </c:pt>
                <c:pt idx="29">
                  <c:v>0.72000000000000008</c:v>
                </c:pt>
                <c:pt idx="30">
                  <c:v>0.67</c:v>
                </c:pt>
                <c:pt idx="31">
                  <c:v>0.60000000000000009</c:v>
                </c:pt>
                <c:pt idx="32">
                  <c:v>0.50700000000000001</c:v>
                </c:pt>
                <c:pt idx="33">
                  <c:v>0.4</c:v>
                </c:pt>
                <c:pt idx="34">
                  <c:v>0.34</c:v>
                </c:pt>
                <c:pt idx="35">
                  <c:v>0.24500000000000002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69-4626-A494-6D62BF1C8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596144"/>
        <c:axId val="1033595184"/>
      </c:scatterChart>
      <c:valAx>
        <c:axId val="103359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95184"/>
        <c:crosses val="autoZero"/>
        <c:crossBetween val="midCat"/>
      </c:valAx>
      <c:valAx>
        <c:axId val="10335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9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4553149606299209E-2"/>
          <c:y val="0.20354184893554972"/>
          <c:w val="0.8680719597550306"/>
          <c:h val="0.712206911636045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'选做 预处理'!$M$1</c:f>
              <c:strCache>
                <c:ptCount val="1"/>
                <c:pt idx="0">
                  <c:v>测量有效值Urms/V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'选做 预处理'!$K$2:$K$38</c:f>
              <c:numCache>
                <c:formatCode>0.000</c:formatCode>
                <c:ptCount val="37"/>
                <c:pt idx="0">
                  <c:v>1.6989700043360187</c:v>
                </c:pt>
                <c:pt idx="1">
                  <c:v>2</c:v>
                </c:pt>
                <c:pt idx="2">
                  <c:v>2.6989700043360187</c:v>
                </c:pt>
                <c:pt idx="3">
                  <c:v>3</c:v>
                </c:pt>
                <c:pt idx="4">
                  <c:v>3.3010299956639813</c:v>
                </c:pt>
                <c:pt idx="5">
                  <c:v>3.6989700043360187</c:v>
                </c:pt>
                <c:pt idx="6">
                  <c:v>3.7781512503836434</c:v>
                </c:pt>
                <c:pt idx="7">
                  <c:v>3.8750612633917001</c:v>
                </c:pt>
                <c:pt idx="8">
                  <c:v>3.9542425094393248</c:v>
                </c:pt>
                <c:pt idx="9">
                  <c:v>4</c:v>
                </c:pt>
                <c:pt idx="10">
                  <c:v>4.0413926851582254</c:v>
                </c:pt>
                <c:pt idx="11">
                  <c:v>4.0791812460476251</c:v>
                </c:pt>
                <c:pt idx="12">
                  <c:v>4.1139433523068369</c:v>
                </c:pt>
                <c:pt idx="13">
                  <c:v>4.1461280356782382</c:v>
                </c:pt>
                <c:pt idx="14">
                  <c:v>4.1760912590556813</c:v>
                </c:pt>
                <c:pt idx="15">
                  <c:v>4.204119982655925</c:v>
                </c:pt>
                <c:pt idx="16">
                  <c:v>4.2304489213782741</c:v>
                </c:pt>
                <c:pt idx="17">
                  <c:v>4.2552725051033065</c:v>
                </c:pt>
                <c:pt idx="18">
                  <c:v>4.2787536009528289</c:v>
                </c:pt>
                <c:pt idx="19">
                  <c:v>4.3010299956639813</c:v>
                </c:pt>
                <c:pt idx="20">
                  <c:v>4.3521825181113627</c:v>
                </c:pt>
                <c:pt idx="21">
                  <c:v>4.3979400086720375</c:v>
                </c:pt>
                <c:pt idx="22">
                  <c:v>4.4393326938302629</c:v>
                </c:pt>
                <c:pt idx="23">
                  <c:v>4.4771212547196626</c:v>
                </c:pt>
                <c:pt idx="24">
                  <c:v>4.5440680443502757</c:v>
                </c:pt>
                <c:pt idx="25">
                  <c:v>4.5740312677277188</c:v>
                </c:pt>
                <c:pt idx="26">
                  <c:v>4.653212513775344</c:v>
                </c:pt>
                <c:pt idx="27">
                  <c:v>4.6989700043360187</c:v>
                </c:pt>
                <c:pt idx="28">
                  <c:v>4.8129133566428557</c:v>
                </c:pt>
                <c:pt idx="29">
                  <c:v>4.8450980400142569</c:v>
                </c:pt>
                <c:pt idx="30">
                  <c:v>4.8750612633917001</c:v>
                </c:pt>
                <c:pt idx="31">
                  <c:v>4.9294189257142929</c:v>
                </c:pt>
                <c:pt idx="32">
                  <c:v>5</c:v>
                </c:pt>
                <c:pt idx="33">
                  <c:v>5.0969100130080562</c:v>
                </c:pt>
                <c:pt idx="34">
                  <c:v>5.1760912590556813</c:v>
                </c:pt>
                <c:pt idx="35">
                  <c:v>5.3010299956639813</c:v>
                </c:pt>
              </c:numCache>
            </c:numRef>
          </c:xVal>
          <c:yVal>
            <c:numRef>
              <c:f>'选做 预处理'!$M$2:$M$38</c:f>
              <c:numCache>
                <c:formatCode>General</c:formatCode>
                <c:ptCount val="37"/>
                <c:pt idx="0">
                  <c:v>1.7465537495307724</c:v>
                </c:pt>
                <c:pt idx="1">
                  <c:v>1.7677669529663687</c:v>
                </c:pt>
                <c:pt idx="2">
                  <c:v>1.7854446224960323</c:v>
                </c:pt>
                <c:pt idx="3">
                  <c:v>1.7677669529663687</c:v>
                </c:pt>
                <c:pt idx="4">
                  <c:v>1.7430182156248395</c:v>
                </c:pt>
                <c:pt idx="5">
                  <c:v>1.5803836559519335</c:v>
                </c:pt>
                <c:pt idx="6">
                  <c:v>1.5273506473629426</c:v>
                </c:pt>
                <c:pt idx="7">
                  <c:v>1.4142135623730949</c:v>
                </c:pt>
                <c:pt idx="8">
                  <c:v>1.308147545195113</c:v>
                </c:pt>
                <c:pt idx="9">
                  <c:v>1.2374368670764582</c:v>
                </c:pt>
                <c:pt idx="10">
                  <c:v>1.1773327906756015</c:v>
                </c:pt>
                <c:pt idx="11">
                  <c:v>1.1136931803688122</c:v>
                </c:pt>
                <c:pt idx="12">
                  <c:v>1.0606601717798212</c:v>
                </c:pt>
                <c:pt idx="13">
                  <c:v>1.0253048327204939</c:v>
                </c:pt>
                <c:pt idx="14">
                  <c:v>0.97227182413150282</c:v>
                </c:pt>
                <c:pt idx="15">
                  <c:v>0.91923881554251174</c:v>
                </c:pt>
                <c:pt idx="16">
                  <c:v>0.87858017562428514</c:v>
                </c:pt>
                <c:pt idx="17">
                  <c:v>0.83968930265902508</c:v>
                </c:pt>
                <c:pt idx="18">
                  <c:v>0.80433396359969778</c:v>
                </c:pt>
                <c:pt idx="19">
                  <c:v>0.76897862454037036</c:v>
                </c:pt>
                <c:pt idx="20">
                  <c:v>0.70710678118654746</c:v>
                </c:pt>
                <c:pt idx="21">
                  <c:v>0.64523493783272456</c:v>
                </c:pt>
                <c:pt idx="22">
                  <c:v>0.59573746314966625</c:v>
                </c:pt>
                <c:pt idx="23">
                  <c:v>0.54800775541957436</c:v>
                </c:pt>
                <c:pt idx="24">
                  <c:v>0.47729707730091958</c:v>
                </c:pt>
                <c:pt idx="25">
                  <c:v>0.45078057300642399</c:v>
                </c:pt>
                <c:pt idx="26">
                  <c:v>0.3853731957466684</c:v>
                </c:pt>
                <c:pt idx="27">
                  <c:v>0.35001785668734103</c:v>
                </c:pt>
                <c:pt idx="28">
                  <c:v>0.27365032431919389</c:v>
                </c:pt>
                <c:pt idx="29">
                  <c:v>0.2545584412271571</c:v>
                </c:pt>
                <c:pt idx="30">
                  <c:v>0.23688077169749341</c:v>
                </c:pt>
                <c:pt idx="31">
                  <c:v>0.21213203435596428</c:v>
                </c:pt>
                <c:pt idx="32">
                  <c:v>0.17925156903078979</c:v>
                </c:pt>
                <c:pt idx="33">
                  <c:v>0.1414213562373095</c:v>
                </c:pt>
                <c:pt idx="34">
                  <c:v>0.12020815280171308</c:v>
                </c:pt>
                <c:pt idx="35">
                  <c:v>8.662058069535207E-2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0C-4F6A-83CC-2803B59B1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391424"/>
        <c:axId val="1165391904"/>
      </c:scatterChart>
      <c:valAx>
        <c:axId val="116539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391904"/>
        <c:crosses val="autoZero"/>
        <c:crossBetween val="midCat"/>
      </c:valAx>
      <c:valAx>
        <c:axId val="116539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39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'选做 正式数据'!$L$5</c:f>
              <c:strCache>
                <c:ptCount val="1"/>
                <c:pt idx="0">
                  <c:v>输出电压幅值Upp/V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'选做 正式数据'!$K$6:$K$38</c:f>
              <c:numCache>
                <c:formatCode>0.000</c:formatCode>
                <c:ptCount val="33"/>
                <c:pt idx="0">
                  <c:v>3</c:v>
                </c:pt>
                <c:pt idx="1">
                  <c:v>3.3010299956639813</c:v>
                </c:pt>
                <c:pt idx="2">
                  <c:v>3.6989700043360187</c:v>
                </c:pt>
                <c:pt idx="3">
                  <c:v>3.7781512503836434</c:v>
                </c:pt>
                <c:pt idx="4">
                  <c:v>3.8750612633917001</c:v>
                </c:pt>
                <c:pt idx="5">
                  <c:v>3.9542425094393248</c:v>
                </c:pt>
                <c:pt idx="6">
                  <c:v>4</c:v>
                </c:pt>
                <c:pt idx="7">
                  <c:v>4.0413926851582254</c:v>
                </c:pt>
                <c:pt idx="8">
                  <c:v>4.0791812460476251</c:v>
                </c:pt>
                <c:pt idx="9">
                  <c:v>4.1139433523068369</c:v>
                </c:pt>
                <c:pt idx="10">
                  <c:v>4.1461280356782382</c:v>
                </c:pt>
                <c:pt idx="11">
                  <c:v>4.1760912590556813</c:v>
                </c:pt>
                <c:pt idx="12">
                  <c:v>4.204119982655925</c:v>
                </c:pt>
                <c:pt idx="13">
                  <c:v>4.2304489213782741</c:v>
                </c:pt>
                <c:pt idx="14">
                  <c:v>4.2552725051033065</c:v>
                </c:pt>
                <c:pt idx="15">
                  <c:v>4.2787536009528289</c:v>
                </c:pt>
                <c:pt idx="16">
                  <c:v>4.3010299956639813</c:v>
                </c:pt>
                <c:pt idx="17">
                  <c:v>4.3521825181113627</c:v>
                </c:pt>
                <c:pt idx="18">
                  <c:v>4.3979400086720375</c:v>
                </c:pt>
                <c:pt idx="19">
                  <c:v>4.4393326938302629</c:v>
                </c:pt>
                <c:pt idx="20">
                  <c:v>4.4771212547196626</c:v>
                </c:pt>
                <c:pt idx="21">
                  <c:v>4.5440680443502757</c:v>
                </c:pt>
                <c:pt idx="22">
                  <c:v>4.5740312677277188</c:v>
                </c:pt>
                <c:pt idx="23">
                  <c:v>4.653212513775344</c:v>
                </c:pt>
                <c:pt idx="24">
                  <c:v>4.6989700043360187</c:v>
                </c:pt>
                <c:pt idx="25">
                  <c:v>4.8129133566428557</c:v>
                </c:pt>
                <c:pt idx="26">
                  <c:v>4.8450980400142569</c:v>
                </c:pt>
                <c:pt idx="27">
                  <c:v>4.8750612633917001</c:v>
                </c:pt>
                <c:pt idx="28">
                  <c:v>4.9294189257142929</c:v>
                </c:pt>
                <c:pt idx="29">
                  <c:v>5</c:v>
                </c:pt>
                <c:pt idx="30">
                  <c:v>5.0969100130080562</c:v>
                </c:pt>
                <c:pt idx="31">
                  <c:v>5.1760912590556813</c:v>
                </c:pt>
                <c:pt idx="32">
                  <c:v>5.3010299956639813</c:v>
                </c:pt>
              </c:numCache>
            </c:numRef>
          </c:xVal>
          <c:yVal>
            <c:numRef>
              <c:f>'选做 正式数据'!$L$6:$L$38</c:f>
              <c:numCache>
                <c:formatCode>0.00</c:formatCode>
                <c:ptCount val="33"/>
                <c:pt idx="0">
                  <c:v>5</c:v>
                </c:pt>
                <c:pt idx="1">
                  <c:v>4.93</c:v>
                </c:pt>
                <c:pt idx="2">
                  <c:v>4.47</c:v>
                </c:pt>
                <c:pt idx="3">
                  <c:v>4.32</c:v>
                </c:pt>
                <c:pt idx="4">
                  <c:v>4</c:v>
                </c:pt>
                <c:pt idx="5">
                  <c:v>3.7</c:v>
                </c:pt>
                <c:pt idx="6">
                  <c:v>3.5</c:v>
                </c:pt>
                <c:pt idx="7">
                  <c:v>3.33</c:v>
                </c:pt>
                <c:pt idx="8">
                  <c:v>3.15</c:v>
                </c:pt>
                <c:pt idx="9">
                  <c:v>3</c:v>
                </c:pt>
                <c:pt idx="10">
                  <c:v>2.9</c:v>
                </c:pt>
                <c:pt idx="11">
                  <c:v>2.75</c:v>
                </c:pt>
                <c:pt idx="12">
                  <c:v>2.6</c:v>
                </c:pt>
                <c:pt idx="13">
                  <c:v>2.4849999999999999</c:v>
                </c:pt>
                <c:pt idx="14">
                  <c:v>2.375</c:v>
                </c:pt>
                <c:pt idx="15">
                  <c:v>2.2749999999999999</c:v>
                </c:pt>
                <c:pt idx="16">
                  <c:v>2.1749999999999998</c:v>
                </c:pt>
                <c:pt idx="17">
                  <c:v>2</c:v>
                </c:pt>
                <c:pt idx="18">
                  <c:v>1.825</c:v>
                </c:pt>
                <c:pt idx="19">
                  <c:v>1.6850000000000001</c:v>
                </c:pt>
                <c:pt idx="20">
                  <c:v>1.55</c:v>
                </c:pt>
                <c:pt idx="21">
                  <c:v>1.35</c:v>
                </c:pt>
                <c:pt idx="22">
                  <c:v>1.2749999999999999</c:v>
                </c:pt>
                <c:pt idx="23">
                  <c:v>1.0900000000000001</c:v>
                </c:pt>
                <c:pt idx="24" formatCode="0.000">
                  <c:v>0.9900000000000001</c:v>
                </c:pt>
                <c:pt idx="25" formatCode="0.000">
                  <c:v>0.77400000000000002</c:v>
                </c:pt>
                <c:pt idx="26" formatCode="0.000">
                  <c:v>0.72000000000000008</c:v>
                </c:pt>
                <c:pt idx="27" formatCode="0.000">
                  <c:v>0.67</c:v>
                </c:pt>
                <c:pt idx="28" formatCode="0.000">
                  <c:v>0.60000000000000009</c:v>
                </c:pt>
                <c:pt idx="29" formatCode="0.000">
                  <c:v>0.50700000000000001</c:v>
                </c:pt>
                <c:pt idx="30" formatCode="0.000">
                  <c:v>0.4</c:v>
                </c:pt>
                <c:pt idx="31" formatCode="0.000">
                  <c:v>0.34</c:v>
                </c:pt>
                <c:pt idx="32" formatCode="0.000">
                  <c:v>0.24500000000000002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76-4585-8768-E72C9B509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596144"/>
        <c:axId val="1033595184"/>
      </c:scatterChart>
      <c:valAx>
        <c:axId val="103359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95184"/>
        <c:crosses val="autoZero"/>
        <c:crossBetween val="midCat"/>
      </c:valAx>
      <c:valAx>
        <c:axId val="10335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9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4553149606299209E-2"/>
          <c:y val="0.20354184893554972"/>
          <c:w val="0.8680719597550306"/>
          <c:h val="0.712206911636045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'选做 正式数据'!$M$5</c:f>
              <c:strCache>
                <c:ptCount val="1"/>
                <c:pt idx="0">
                  <c:v>输出电压有效值
Urms/V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'选做 正式数据'!$K$6:$K$39</c:f>
              <c:numCache>
                <c:formatCode>0.000</c:formatCode>
                <c:ptCount val="34"/>
                <c:pt idx="0">
                  <c:v>3</c:v>
                </c:pt>
                <c:pt idx="1">
                  <c:v>3.3010299956639813</c:v>
                </c:pt>
                <c:pt idx="2">
                  <c:v>3.6989700043360187</c:v>
                </c:pt>
                <c:pt idx="3">
                  <c:v>3.7781512503836434</c:v>
                </c:pt>
                <c:pt idx="4">
                  <c:v>3.8750612633917001</c:v>
                </c:pt>
                <c:pt idx="5">
                  <c:v>3.9542425094393248</c:v>
                </c:pt>
                <c:pt idx="6">
                  <c:v>4</c:v>
                </c:pt>
                <c:pt idx="7">
                  <c:v>4.0413926851582254</c:v>
                </c:pt>
                <c:pt idx="8">
                  <c:v>4.0791812460476251</c:v>
                </c:pt>
                <c:pt idx="9">
                  <c:v>4.1139433523068369</c:v>
                </c:pt>
                <c:pt idx="10">
                  <c:v>4.1461280356782382</c:v>
                </c:pt>
                <c:pt idx="11">
                  <c:v>4.1760912590556813</c:v>
                </c:pt>
                <c:pt idx="12">
                  <c:v>4.204119982655925</c:v>
                </c:pt>
                <c:pt idx="13">
                  <c:v>4.2304489213782741</c:v>
                </c:pt>
                <c:pt idx="14">
                  <c:v>4.2552725051033065</c:v>
                </c:pt>
                <c:pt idx="15">
                  <c:v>4.2787536009528289</c:v>
                </c:pt>
                <c:pt idx="16">
                  <c:v>4.3010299956639813</c:v>
                </c:pt>
                <c:pt idx="17">
                  <c:v>4.3521825181113627</c:v>
                </c:pt>
                <c:pt idx="18">
                  <c:v>4.3979400086720375</c:v>
                </c:pt>
                <c:pt idx="19">
                  <c:v>4.4393326938302629</c:v>
                </c:pt>
                <c:pt idx="20">
                  <c:v>4.4771212547196626</c:v>
                </c:pt>
                <c:pt idx="21">
                  <c:v>4.5440680443502757</c:v>
                </c:pt>
                <c:pt idx="22">
                  <c:v>4.5740312677277188</c:v>
                </c:pt>
                <c:pt idx="23">
                  <c:v>4.653212513775344</c:v>
                </c:pt>
                <c:pt idx="24">
                  <c:v>4.6989700043360187</c:v>
                </c:pt>
                <c:pt idx="25">
                  <c:v>4.8129133566428557</c:v>
                </c:pt>
                <c:pt idx="26">
                  <c:v>4.8450980400142569</c:v>
                </c:pt>
                <c:pt idx="27">
                  <c:v>4.8750612633917001</c:v>
                </c:pt>
                <c:pt idx="28">
                  <c:v>4.9294189257142929</c:v>
                </c:pt>
                <c:pt idx="29">
                  <c:v>5</c:v>
                </c:pt>
                <c:pt idx="30">
                  <c:v>5.0969100130080562</c:v>
                </c:pt>
                <c:pt idx="31">
                  <c:v>5.1760912590556813</c:v>
                </c:pt>
                <c:pt idx="32">
                  <c:v>5.3010299956639813</c:v>
                </c:pt>
              </c:numCache>
            </c:numRef>
          </c:xVal>
          <c:yVal>
            <c:numRef>
              <c:f>'选做 正式数据'!$M$6:$M$39</c:f>
              <c:numCache>
                <c:formatCode>0.000</c:formatCode>
                <c:ptCount val="34"/>
                <c:pt idx="0">
                  <c:v>1.7677669529663687</c:v>
                </c:pt>
                <c:pt idx="1">
                  <c:v>1.7430182156248395</c:v>
                </c:pt>
                <c:pt idx="2">
                  <c:v>1.5803836559519335</c:v>
                </c:pt>
                <c:pt idx="3">
                  <c:v>1.5273506473629426</c:v>
                </c:pt>
                <c:pt idx="4">
                  <c:v>1.4142135623730949</c:v>
                </c:pt>
                <c:pt idx="5">
                  <c:v>1.308147545195113</c:v>
                </c:pt>
                <c:pt idx="6">
                  <c:v>1.2374368670764582</c:v>
                </c:pt>
                <c:pt idx="7">
                  <c:v>1.1773327906756015</c:v>
                </c:pt>
                <c:pt idx="8">
                  <c:v>1.1136931803688122</c:v>
                </c:pt>
                <c:pt idx="9">
                  <c:v>1.0606601717798212</c:v>
                </c:pt>
                <c:pt idx="10">
                  <c:v>1.0253048327204939</c:v>
                </c:pt>
                <c:pt idx="11" formatCode="0.0000">
                  <c:v>0.97227182413150282</c:v>
                </c:pt>
                <c:pt idx="12" formatCode="0.0000">
                  <c:v>0.91923881554251174</c:v>
                </c:pt>
                <c:pt idx="13" formatCode="0.0000">
                  <c:v>0.87858017562428514</c:v>
                </c:pt>
                <c:pt idx="14" formatCode="0.0000">
                  <c:v>0.83968930265902508</c:v>
                </c:pt>
                <c:pt idx="15" formatCode="0.0000">
                  <c:v>0.80433396359969778</c:v>
                </c:pt>
                <c:pt idx="16" formatCode="0.0000">
                  <c:v>0.76897862454037036</c:v>
                </c:pt>
                <c:pt idx="17" formatCode="0.0000">
                  <c:v>0.70710678118654746</c:v>
                </c:pt>
                <c:pt idx="18" formatCode="0.0000">
                  <c:v>0.64523493783272456</c:v>
                </c:pt>
                <c:pt idx="19" formatCode="0.0000">
                  <c:v>0.59573746314966625</c:v>
                </c:pt>
                <c:pt idx="20" formatCode="0.0000">
                  <c:v>0.54800775541957436</c:v>
                </c:pt>
                <c:pt idx="21" formatCode="0.0000">
                  <c:v>0.47729707730091958</c:v>
                </c:pt>
                <c:pt idx="22" formatCode="0.0000">
                  <c:v>0.45078057300642399</c:v>
                </c:pt>
                <c:pt idx="23" formatCode="0.0000">
                  <c:v>0.3853731957466684</c:v>
                </c:pt>
                <c:pt idx="24" formatCode="0.0000">
                  <c:v>0.35001785668734103</c:v>
                </c:pt>
                <c:pt idx="25" formatCode="0.0000">
                  <c:v>0.27365032431919389</c:v>
                </c:pt>
                <c:pt idx="26" formatCode="0.0000">
                  <c:v>0.2545584412271571</c:v>
                </c:pt>
                <c:pt idx="27" formatCode="0.0000">
                  <c:v>0.23688077169749341</c:v>
                </c:pt>
                <c:pt idx="28" formatCode="0.0000">
                  <c:v>0.21213203435596428</c:v>
                </c:pt>
                <c:pt idx="29" formatCode="0.0000">
                  <c:v>0.17925156903078979</c:v>
                </c:pt>
                <c:pt idx="30" formatCode="0.0000">
                  <c:v>0.1414213562373095</c:v>
                </c:pt>
                <c:pt idx="31" formatCode="0.0000">
                  <c:v>0.12020815280171308</c:v>
                </c:pt>
                <c:pt idx="32" formatCode="0.0000">
                  <c:v>8.662058069535207E-2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F2-48C2-A0DB-4ADF010F2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391424"/>
        <c:axId val="1165391904"/>
      </c:scatterChart>
      <c:valAx>
        <c:axId val="116539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391904"/>
        <c:crosses val="autoZero"/>
        <c:crossBetween val="midCat"/>
      </c:valAx>
      <c:valAx>
        <c:axId val="116539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39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132080</xdr:colOff>
      <xdr:row>20</xdr:row>
      <xdr:rowOff>66158</xdr:rowOff>
    </xdr:from>
    <xdr:to>
      <xdr:col>21</xdr:col>
      <xdr:colOff>391878</xdr:colOff>
      <xdr:row>35</xdr:row>
      <xdr:rowOff>66157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C2D71B-89D2-4A08-973A-9267D1586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152400</xdr:colOff>
      <xdr:row>4</xdr:row>
      <xdr:rowOff>103871</xdr:rowOff>
    </xdr:from>
    <xdr:to>
      <xdr:col>21</xdr:col>
      <xdr:colOff>427081</xdr:colOff>
      <xdr:row>19</xdr:row>
      <xdr:rowOff>64115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3356EB8-9BFC-4A61-AB2A-C410CE310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162681</xdr:colOff>
      <xdr:row>6</xdr:row>
      <xdr:rowOff>110086</xdr:rowOff>
    </xdr:from>
    <xdr:to>
      <xdr:col>22</xdr:col>
      <xdr:colOff>341975</xdr:colOff>
      <xdr:row>21</xdr:row>
      <xdr:rowOff>110085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F4059B6-C6BA-42AA-9C0F-B36CFDE1B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654424</xdr:colOff>
      <xdr:row>6</xdr:row>
      <xdr:rowOff>128930</xdr:rowOff>
    </xdr:from>
    <xdr:to>
      <xdr:col>29</xdr:col>
      <xdr:colOff>207274</xdr:colOff>
      <xdr:row>21</xdr:row>
      <xdr:rowOff>94936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013A094-BFF7-4451-AA88-99B54A863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032;&#25991;&#20214;\2.%20&#22823;&#19968;&#19979;\1.%20&#23398;&#20064;&#36164;&#26009;\6.%20&#29289;&#29702;&#23454;&#39564;\4.%20&#31034;&#27874;&#22120;&#30340;&#20351;&#29992;\&#25968;&#25454;&#22788;&#29702;\&#31034;&#27874;&#22120;%20&#34920;4%20&#36873;&#20570;.xlsx" TargetMode="External"/><Relationship Id="rId1" Type="http://schemas.openxmlformats.org/officeDocument/2006/relationships/externalLinkPath" Target="&#31034;&#27874;&#22120;%20&#34920;4%20&#36873;&#205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印"/>
    </sheetNames>
    <sheetDataSet>
      <sheetData sheetId="0">
        <row r="1">
          <cell r="L1" t="str">
            <v>测量计算值Upp/V</v>
          </cell>
          <cell r="M1" t="str">
            <v>测量有效值Urms/V</v>
          </cell>
        </row>
        <row r="2">
          <cell r="K2">
            <v>1.6989700043360187</v>
          </cell>
          <cell r="L2">
            <v>4.9400000000000004</v>
          </cell>
          <cell r="M2">
            <v>1.7465537495307724</v>
          </cell>
        </row>
        <row r="3">
          <cell r="K3">
            <v>2</v>
          </cell>
          <cell r="L3">
            <v>5</v>
          </cell>
          <cell r="M3">
            <v>1.7677669529663687</v>
          </cell>
        </row>
        <row r="4">
          <cell r="K4">
            <v>2.6989700043360187</v>
          </cell>
          <cell r="L4">
            <v>5.05</v>
          </cell>
          <cell r="M4">
            <v>1.7854446224960323</v>
          </cell>
        </row>
        <row r="5">
          <cell r="K5">
            <v>3</v>
          </cell>
          <cell r="L5">
            <v>5</v>
          </cell>
          <cell r="M5">
            <v>1.7677669529663687</v>
          </cell>
        </row>
        <row r="6">
          <cell r="K6">
            <v>3.3010299956639813</v>
          </cell>
          <cell r="L6">
            <v>4.93</v>
          </cell>
          <cell r="M6">
            <v>1.7430182156248395</v>
          </cell>
        </row>
        <row r="7">
          <cell r="K7">
            <v>3.6989700043360187</v>
          </cell>
          <cell r="L7">
            <v>4.47</v>
          </cell>
          <cell r="M7">
            <v>1.5803836559519335</v>
          </cell>
        </row>
        <row r="8">
          <cell r="K8">
            <v>3.7781512503836434</v>
          </cell>
          <cell r="L8">
            <v>4.32</v>
          </cell>
          <cell r="M8">
            <v>1.5273506473629426</v>
          </cell>
        </row>
        <row r="9">
          <cell r="K9">
            <v>3.8750612633917001</v>
          </cell>
          <cell r="L9">
            <v>4</v>
          </cell>
          <cell r="M9">
            <v>1.4142135623730949</v>
          </cell>
        </row>
        <row r="10">
          <cell r="K10">
            <v>3.9542425094393248</v>
          </cell>
          <cell r="L10">
            <v>3.7</v>
          </cell>
          <cell r="M10">
            <v>1.308147545195113</v>
          </cell>
        </row>
        <row r="11">
          <cell r="K11">
            <v>4</v>
          </cell>
          <cell r="L11">
            <v>3.5</v>
          </cell>
          <cell r="M11">
            <v>1.2374368670764582</v>
          </cell>
        </row>
        <row r="12">
          <cell r="K12">
            <v>4.0413926851582254</v>
          </cell>
          <cell r="L12">
            <v>3.33</v>
          </cell>
          <cell r="M12">
            <v>1.1773327906756015</v>
          </cell>
        </row>
        <row r="13">
          <cell r="K13">
            <v>4.0791812460476251</v>
          </cell>
          <cell r="L13">
            <v>3.15</v>
          </cell>
          <cell r="M13">
            <v>1.1136931803688122</v>
          </cell>
        </row>
        <row r="14">
          <cell r="K14">
            <v>4.1139433523068369</v>
          </cell>
          <cell r="L14">
            <v>3</v>
          </cell>
          <cell r="M14">
            <v>1.0606601717798212</v>
          </cell>
        </row>
        <row r="15">
          <cell r="K15">
            <v>4.1461280356782382</v>
          </cell>
          <cell r="L15">
            <v>2.9</v>
          </cell>
          <cell r="M15">
            <v>1.0253048327204939</v>
          </cell>
        </row>
        <row r="16">
          <cell r="K16">
            <v>4.1760912590556813</v>
          </cell>
          <cell r="L16">
            <v>2.75</v>
          </cell>
          <cell r="M16">
            <v>0.97227182413150282</v>
          </cell>
        </row>
        <row r="17">
          <cell r="K17">
            <v>4.204119982655925</v>
          </cell>
          <cell r="L17">
            <v>2.6</v>
          </cell>
          <cell r="M17">
            <v>0.91923881554251174</v>
          </cell>
        </row>
        <row r="18">
          <cell r="K18">
            <v>4.2304489213782741</v>
          </cell>
          <cell r="L18">
            <v>2.4849999999999999</v>
          </cell>
          <cell r="M18">
            <v>0.87858017562428514</v>
          </cell>
        </row>
        <row r="19">
          <cell r="K19">
            <v>4.2552725051033065</v>
          </cell>
          <cell r="L19">
            <v>2.375</v>
          </cell>
          <cell r="M19">
            <v>0.83968930265902508</v>
          </cell>
        </row>
        <row r="20">
          <cell r="K20">
            <v>4.2787536009528289</v>
          </cell>
          <cell r="L20">
            <v>2.2749999999999999</v>
          </cell>
          <cell r="M20">
            <v>0.80433396359969778</v>
          </cell>
        </row>
        <row r="21">
          <cell r="K21">
            <v>4.3010299956639813</v>
          </cell>
          <cell r="L21">
            <v>2.1749999999999998</v>
          </cell>
          <cell r="M21">
            <v>0.76897862454037036</v>
          </cell>
        </row>
        <row r="22">
          <cell r="K22">
            <v>4.3521825181113627</v>
          </cell>
          <cell r="L22">
            <v>2</v>
          </cell>
          <cell r="M22">
            <v>0.70710678118654746</v>
          </cell>
        </row>
        <row r="23">
          <cell r="K23">
            <v>4.3979400086720375</v>
          </cell>
          <cell r="L23">
            <v>1.825</v>
          </cell>
          <cell r="M23">
            <v>0.64523493783272456</v>
          </cell>
        </row>
        <row r="24">
          <cell r="K24">
            <v>4.4393326938302629</v>
          </cell>
          <cell r="L24">
            <v>1.6850000000000001</v>
          </cell>
          <cell r="M24">
            <v>0.59573746314966625</v>
          </cell>
        </row>
        <row r="25">
          <cell r="K25">
            <v>4.4771212547196626</v>
          </cell>
          <cell r="L25">
            <v>1.55</v>
          </cell>
          <cell r="M25">
            <v>0.54800775541957436</v>
          </cell>
        </row>
        <row r="26">
          <cell r="K26">
            <v>4.5440680443502757</v>
          </cell>
          <cell r="L26">
            <v>1.35</v>
          </cell>
          <cell r="M26">
            <v>0.47729707730091958</v>
          </cell>
        </row>
        <row r="27">
          <cell r="K27">
            <v>4.5740312677277188</v>
          </cell>
          <cell r="L27">
            <v>1.2749999999999999</v>
          </cell>
          <cell r="M27">
            <v>0.45078057300642399</v>
          </cell>
        </row>
        <row r="28">
          <cell r="K28">
            <v>4.653212513775344</v>
          </cell>
          <cell r="L28">
            <v>1.0900000000000001</v>
          </cell>
          <cell r="M28">
            <v>0.3853731957466684</v>
          </cell>
        </row>
        <row r="29">
          <cell r="K29">
            <v>4.6989700043360187</v>
          </cell>
          <cell r="L29">
            <v>0.9900000000000001</v>
          </cell>
          <cell r="M29">
            <v>0.35001785668734103</v>
          </cell>
        </row>
        <row r="30">
          <cell r="K30">
            <v>4.8129133566428557</v>
          </cell>
          <cell r="L30">
            <v>0.77400000000000002</v>
          </cell>
          <cell r="M30">
            <v>0.27365032431919389</v>
          </cell>
        </row>
        <row r="31">
          <cell r="K31">
            <v>4.8450980400142569</v>
          </cell>
          <cell r="L31">
            <v>0.72000000000000008</v>
          </cell>
          <cell r="M31">
            <v>0.2545584412271571</v>
          </cell>
        </row>
        <row r="32">
          <cell r="K32">
            <v>4.8750612633917001</v>
          </cell>
          <cell r="L32">
            <v>0.67</v>
          </cell>
          <cell r="M32">
            <v>0.23688077169749341</v>
          </cell>
        </row>
        <row r="33">
          <cell r="K33">
            <v>4.9294189257142929</v>
          </cell>
          <cell r="L33">
            <v>0.60000000000000009</v>
          </cell>
          <cell r="M33">
            <v>0.21213203435596428</v>
          </cell>
        </row>
        <row r="34">
          <cell r="K34">
            <v>5</v>
          </cell>
          <cell r="L34">
            <v>0.50700000000000001</v>
          </cell>
          <cell r="M34">
            <v>0.17925156903078979</v>
          </cell>
        </row>
        <row r="35">
          <cell r="K35">
            <v>5.0969100130080562</v>
          </cell>
          <cell r="L35">
            <v>0.4</v>
          </cell>
          <cell r="M35">
            <v>0.1414213562373095</v>
          </cell>
        </row>
        <row r="36">
          <cell r="K36">
            <v>5.1760912590556813</v>
          </cell>
          <cell r="L36">
            <v>0.34</v>
          </cell>
          <cell r="M36">
            <v>0.12020815280171308</v>
          </cell>
        </row>
        <row r="37">
          <cell r="K37">
            <v>5.3010299956639813</v>
          </cell>
          <cell r="L37">
            <v>0.24500000000000002</v>
          </cell>
          <cell r="M37">
            <v>8.662058069535207E-2</v>
          </cell>
        </row>
      </sheetData>
      <sheetData sheetId="1">
        <row r="5">
          <cell r="L5" t="str">
            <v>输出电压幅值Upp/V</v>
          </cell>
          <cell r="M5" t="str">
            <v>输出电压有效值
Urms/V</v>
          </cell>
        </row>
        <row r="6">
          <cell r="K6">
            <v>3</v>
          </cell>
          <cell r="L6">
            <v>5</v>
          </cell>
          <cell r="M6">
            <v>1.7677669529663687</v>
          </cell>
        </row>
        <row r="7">
          <cell r="K7">
            <v>3.3010299956639813</v>
          </cell>
          <cell r="L7">
            <v>4.93</v>
          </cell>
          <cell r="M7">
            <v>1.7430182156248395</v>
          </cell>
        </row>
        <row r="8">
          <cell r="K8">
            <v>3.6989700043360187</v>
          </cell>
          <cell r="L8">
            <v>4.47</v>
          </cell>
          <cell r="M8">
            <v>1.5803836559519335</v>
          </cell>
        </row>
        <row r="9">
          <cell r="K9">
            <v>3.7781512503836434</v>
          </cell>
          <cell r="L9">
            <v>4.32</v>
          </cell>
          <cell r="M9">
            <v>1.5273506473629426</v>
          </cell>
        </row>
        <row r="10">
          <cell r="K10">
            <v>3.8750612633917001</v>
          </cell>
          <cell r="L10">
            <v>4</v>
          </cell>
          <cell r="M10">
            <v>1.4142135623730949</v>
          </cell>
        </row>
        <row r="11">
          <cell r="K11">
            <v>3.9542425094393248</v>
          </cell>
          <cell r="L11">
            <v>3.7</v>
          </cell>
          <cell r="M11">
            <v>1.308147545195113</v>
          </cell>
        </row>
        <row r="12">
          <cell r="K12">
            <v>4</v>
          </cell>
          <cell r="L12">
            <v>3.5</v>
          </cell>
          <cell r="M12">
            <v>1.2374368670764582</v>
          </cell>
        </row>
        <row r="13">
          <cell r="K13">
            <v>4.0413926851582254</v>
          </cell>
          <cell r="L13">
            <v>3.33</v>
          </cell>
          <cell r="M13">
            <v>1.1773327906756015</v>
          </cell>
        </row>
        <row r="14">
          <cell r="K14">
            <v>4.0791812460476251</v>
          </cell>
          <cell r="L14">
            <v>3.15</v>
          </cell>
          <cell r="M14">
            <v>1.1136931803688122</v>
          </cell>
        </row>
        <row r="15">
          <cell r="K15">
            <v>4.1139433523068369</v>
          </cell>
          <cell r="L15">
            <v>3</v>
          </cell>
          <cell r="M15">
            <v>1.0606601717798212</v>
          </cell>
        </row>
        <row r="16">
          <cell r="K16">
            <v>4.1461280356782382</v>
          </cell>
          <cell r="L16">
            <v>2.9</v>
          </cell>
          <cell r="M16">
            <v>1.0253048327204939</v>
          </cell>
        </row>
        <row r="17">
          <cell r="K17">
            <v>4.1760912590556813</v>
          </cell>
          <cell r="L17">
            <v>2.75</v>
          </cell>
          <cell r="M17">
            <v>0.97227182413150282</v>
          </cell>
        </row>
        <row r="18">
          <cell r="K18">
            <v>4.204119982655925</v>
          </cell>
          <cell r="L18">
            <v>2.6</v>
          </cell>
          <cell r="M18">
            <v>0.91923881554251174</v>
          </cell>
        </row>
        <row r="19">
          <cell r="K19">
            <v>4.2304489213782741</v>
          </cell>
          <cell r="L19">
            <v>2.4849999999999999</v>
          </cell>
          <cell r="M19">
            <v>0.87858017562428514</v>
          </cell>
        </row>
        <row r="20">
          <cell r="K20">
            <v>4.2552725051033065</v>
          </cell>
          <cell r="L20">
            <v>2.375</v>
          </cell>
          <cell r="M20">
            <v>0.83968930265902508</v>
          </cell>
        </row>
        <row r="21">
          <cell r="K21">
            <v>4.2787536009528289</v>
          </cell>
          <cell r="L21">
            <v>2.2749999999999999</v>
          </cell>
          <cell r="M21">
            <v>0.80433396359969778</v>
          </cell>
        </row>
        <row r="22">
          <cell r="K22">
            <v>4.3010299956639813</v>
          </cell>
          <cell r="L22">
            <v>2.1749999999999998</v>
          </cell>
          <cell r="M22">
            <v>0.76897862454037036</v>
          </cell>
        </row>
        <row r="23">
          <cell r="K23">
            <v>4.3521825181113627</v>
          </cell>
          <cell r="L23">
            <v>2</v>
          </cell>
          <cell r="M23">
            <v>0.70710678118654746</v>
          </cell>
        </row>
        <row r="24">
          <cell r="K24">
            <v>4.3979400086720375</v>
          </cell>
          <cell r="L24">
            <v>1.825</v>
          </cell>
          <cell r="M24">
            <v>0.64523493783272456</v>
          </cell>
        </row>
        <row r="25">
          <cell r="K25">
            <v>4.4393326938302629</v>
          </cell>
          <cell r="L25">
            <v>1.6850000000000001</v>
          </cell>
          <cell r="M25">
            <v>0.59573746314966625</v>
          </cell>
        </row>
        <row r="26">
          <cell r="K26">
            <v>4.4771212547196626</v>
          </cell>
          <cell r="L26">
            <v>1.55</v>
          </cell>
          <cell r="M26">
            <v>0.54800775541957436</v>
          </cell>
        </row>
        <row r="27">
          <cell r="K27">
            <v>4.5440680443502757</v>
          </cell>
          <cell r="L27">
            <v>1.35</v>
          </cell>
          <cell r="M27">
            <v>0.47729707730091958</v>
          </cell>
        </row>
        <row r="28">
          <cell r="K28">
            <v>4.5740312677277188</v>
          </cell>
          <cell r="L28">
            <v>1.2749999999999999</v>
          </cell>
          <cell r="M28">
            <v>0.45078057300642399</v>
          </cell>
        </row>
        <row r="29">
          <cell r="K29">
            <v>4.653212513775344</v>
          </cell>
          <cell r="L29">
            <v>1.0900000000000001</v>
          </cell>
          <cell r="M29">
            <v>0.3853731957466684</v>
          </cell>
        </row>
        <row r="30">
          <cell r="K30">
            <v>4.6989700043360187</v>
          </cell>
          <cell r="L30">
            <v>0.9900000000000001</v>
          </cell>
          <cell r="M30">
            <v>0.35001785668734103</v>
          </cell>
        </row>
        <row r="31">
          <cell r="K31">
            <v>4.8129133566428557</v>
          </cell>
          <cell r="L31">
            <v>0.77400000000000002</v>
          </cell>
          <cell r="M31">
            <v>0.27365032431919389</v>
          </cell>
        </row>
        <row r="32">
          <cell r="K32">
            <v>4.8450980400142569</v>
          </cell>
          <cell r="L32">
            <v>0.72000000000000008</v>
          </cell>
          <cell r="M32">
            <v>0.2545584412271571</v>
          </cell>
        </row>
        <row r="33">
          <cell r="K33">
            <v>4.8750612633917001</v>
          </cell>
          <cell r="L33">
            <v>0.67</v>
          </cell>
          <cell r="M33">
            <v>0.23688077169749341</v>
          </cell>
        </row>
        <row r="34">
          <cell r="K34">
            <v>4.9294189257142929</v>
          </cell>
          <cell r="L34">
            <v>0.60000000000000009</v>
          </cell>
          <cell r="M34">
            <v>0.21213203435596428</v>
          </cell>
        </row>
        <row r="35">
          <cell r="K35">
            <v>5</v>
          </cell>
          <cell r="L35">
            <v>0.50700000000000001</v>
          </cell>
          <cell r="M35">
            <v>0.17925156903078979</v>
          </cell>
        </row>
        <row r="36">
          <cell r="K36">
            <v>5.0969100130080562</v>
          </cell>
          <cell r="L36">
            <v>0.4</v>
          </cell>
          <cell r="M36">
            <v>0.1414213562373095</v>
          </cell>
        </row>
        <row r="37">
          <cell r="K37">
            <v>5.1760912590556813</v>
          </cell>
          <cell r="L37">
            <v>0.34</v>
          </cell>
          <cell r="M37">
            <v>0.12020815280171308</v>
          </cell>
        </row>
        <row r="38">
          <cell r="K38">
            <v>5.3010299956639813</v>
          </cell>
          <cell r="L38">
            <v>0.24500000000000002</v>
          </cell>
          <cell r="M38">
            <v>8.662058069535207E-2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A191-73E4-4519-BA23-23715E9735BA}">
  <dimension ref="A1:U25"/>
  <sheetViews>
    <sheetView tabSelected="1" workbookViewId="0"/>
  </sheetViews>
  <sheetFormatPr defaultRowHeight="14.4" x14ac:dyDescent="0.25"/>
  <cols>
    <col min="1" max="1" width="6.5546875" customWidth="1"/>
    <col min="2" max="2" width="14.6640625" customWidth="1"/>
    <col min="3" max="3" width="16.5546875" customWidth="1"/>
    <col min="4" max="4" width="16" customWidth="1"/>
    <col min="5" max="5" width="13.44140625" customWidth="1"/>
    <col min="6" max="6" width="17.6640625" customWidth="1"/>
    <col min="7" max="7" width="13.77734375" customWidth="1"/>
    <col min="8" max="8" width="13" customWidth="1"/>
    <col min="9" max="9" width="12.44140625" customWidth="1"/>
    <col min="11" max="11" width="6.33203125" customWidth="1"/>
    <col min="12" max="12" width="7" customWidth="1"/>
    <col min="13" max="13" width="6.88671875" customWidth="1"/>
    <col min="14" max="14" width="6" customWidth="1"/>
    <col min="15" max="15" width="4.21875" customWidth="1"/>
    <col min="16" max="16" width="2.109375" customWidth="1"/>
    <col min="17" max="17" width="4.44140625" customWidth="1"/>
    <col min="18" max="18" width="6.5546875" customWidth="1"/>
    <col min="19" max="19" width="7.21875" customWidth="1"/>
    <col min="20" max="20" width="5.77734375" customWidth="1"/>
    <col min="21" max="21" width="6.21875" customWidth="1"/>
  </cols>
  <sheetData>
    <row r="1" spans="1:21" ht="17.399999999999999" x14ac:dyDescent="0.25">
      <c r="A1" t="s">
        <v>2</v>
      </c>
      <c r="B1" s="1" t="s">
        <v>0</v>
      </c>
    </row>
    <row r="2" spans="1:21" ht="20.399999999999999" x14ac:dyDescent="0.25">
      <c r="B2" s="1" t="s">
        <v>1</v>
      </c>
      <c r="G2" s="2" t="s">
        <v>5</v>
      </c>
    </row>
    <row r="3" spans="1:21" ht="17.399999999999999" x14ac:dyDescent="0.25">
      <c r="B3" s="1" t="s">
        <v>4</v>
      </c>
      <c r="G3" t="s">
        <v>3</v>
      </c>
    </row>
    <row r="4" spans="1:21" x14ac:dyDescent="0.25">
      <c r="K4" t="s">
        <v>79</v>
      </c>
    </row>
    <row r="5" spans="1:21" ht="22.2" x14ac:dyDescent="0.25">
      <c r="B5" s="3" t="s">
        <v>6</v>
      </c>
      <c r="C5" s="4"/>
      <c r="D5" s="4"/>
      <c r="E5" s="4"/>
      <c r="F5" s="4"/>
      <c r="G5" s="5"/>
      <c r="H5" s="6" t="s">
        <v>7</v>
      </c>
      <c r="I5" s="7"/>
    </row>
    <row r="6" spans="1:21" ht="42.6" customHeight="1" x14ac:dyDescent="0.25">
      <c r="A6" s="8" t="s">
        <v>8</v>
      </c>
      <c r="B6" s="9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1" t="s">
        <v>15</v>
      </c>
      <c r="I6" s="12" t="s">
        <v>16</v>
      </c>
    </row>
    <row r="7" spans="1:21" x14ac:dyDescent="0.25">
      <c r="A7" s="13">
        <v>1</v>
      </c>
      <c r="B7" s="14">
        <v>1.1100000000000001</v>
      </c>
      <c r="C7" s="15">
        <v>5.1100000000000003</v>
      </c>
      <c r="D7" s="16">
        <v>1</v>
      </c>
      <c r="E7" s="17">
        <v>5.2</v>
      </c>
      <c r="F7" s="16">
        <v>0.5</v>
      </c>
      <c r="G7" s="17">
        <v>1.8</v>
      </c>
      <c r="H7" s="18">
        <f>D7*E7</f>
        <v>5.2</v>
      </c>
      <c r="I7" s="19">
        <f>F7*G7</f>
        <v>0.9</v>
      </c>
    </row>
    <row r="8" spans="1:21" x14ac:dyDescent="0.25">
      <c r="A8" s="20">
        <v>2</v>
      </c>
      <c r="B8" s="14">
        <v>2.39</v>
      </c>
      <c r="C8" s="15">
        <v>3.35</v>
      </c>
      <c r="D8" s="16">
        <v>1</v>
      </c>
      <c r="E8" s="17">
        <v>3.4</v>
      </c>
      <c r="F8" s="16">
        <v>0.2</v>
      </c>
      <c r="G8" s="17">
        <v>2.1</v>
      </c>
      <c r="H8" s="18">
        <f t="shared" ref="H8:H9" si="0">D8*E8</f>
        <v>3.4</v>
      </c>
      <c r="I8" s="19">
        <f t="shared" ref="I8:I9" si="1">F8*G8</f>
        <v>0.42000000000000004</v>
      </c>
    </row>
    <row r="9" spans="1:21" x14ac:dyDescent="0.25">
      <c r="A9" s="21">
        <v>3</v>
      </c>
      <c r="B9" s="22">
        <v>3.03</v>
      </c>
      <c r="C9" s="23">
        <v>5.13</v>
      </c>
      <c r="D9" s="24">
        <v>1</v>
      </c>
      <c r="E9" s="25">
        <v>5.25</v>
      </c>
      <c r="F9" s="24">
        <v>0.1</v>
      </c>
      <c r="G9" s="25">
        <v>3.25</v>
      </c>
      <c r="H9" s="26">
        <f t="shared" si="0"/>
        <v>5.25</v>
      </c>
      <c r="I9" s="27">
        <f t="shared" si="1"/>
        <v>0.32500000000000001</v>
      </c>
    </row>
    <row r="10" spans="1:21" x14ac:dyDescent="0.25">
      <c r="E10" t="s">
        <v>17</v>
      </c>
      <c r="G10" t="s">
        <v>17</v>
      </c>
      <c r="H10" t="s">
        <v>18</v>
      </c>
      <c r="I10" t="s">
        <v>18</v>
      </c>
    </row>
    <row r="13" spans="1:21" ht="20.399999999999999" x14ac:dyDescent="0.25">
      <c r="B13" s="28" t="s">
        <v>19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5" spans="1:21" x14ac:dyDescent="0.25">
      <c r="B15" s="30" t="s">
        <v>20</v>
      </c>
      <c r="D15" s="31" t="s">
        <v>21</v>
      </c>
      <c r="F15" s="30" t="s">
        <v>21</v>
      </c>
      <c r="R15" s="32"/>
    </row>
    <row r="16" spans="1:21" x14ac:dyDescent="0.25">
      <c r="A16" s="33"/>
      <c r="B16" s="34" t="s">
        <v>22</v>
      </c>
      <c r="C16" s="35" t="s">
        <v>23</v>
      </c>
      <c r="D16" s="33" t="s">
        <v>24</v>
      </c>
      <c r="E16" s="36" t="s">
        <v>25</v>
      </c>
      <c r="F16" s="33" t="s">
        <v>26</v>
      </c>
      <c r="G16" s="37" t="s">
        <v>27</v>
      </c>
      <c r="R16" s="38"/>
      <c r="T16" s="38"/>
    </row>
    <row r="17" spans="1:21" x14ac:dyDescent="0.25">
      <c r="A17" s="39" t="s">
        <v>28</v>
      </c>
      <c r="B17" s="40">
        <f>H7</f>
        <v>5.2</v>
      </c>
      <c r="C17" s="41">
        <f>1/(B7*1000)*1000</f>
        <v>0.90090090090090091</v>
      </c>
      <c r="D17" s="39">
        <f>ABS(B17-C7)</f>
        <v>8.9999999999999858E-2</v>
      </c>
      <c r="E17" s="42">
        <f>D17/C7</f>
        <v>1.7612524461839502E-2</v>
      </c>
      <c r="F17" s="43">
        <f>ABS(I7-C17)</f>
        <v>9.009009009008917E-4</v>
      </c>
      <c r="G17" s="42">
        <f>F17/C17</f>
        <v>9.9999999999998983E-4</v>
      </c>
      <c r="H17" s="32" t="s">
        <v>29</v>
      </c>
      <c r="I17" t="s">
        <v>30</v>
      </c>
      <c r="J17" t="s">
        <v>31</v>
      </c>
      <c r="K17" s="44" t="s">
        <v>32</v>
      </c>
      <c r="L17" s="45">
        <f>C7</f>
        <v>5.1100000000000003</v>
      </c>
      <c r="M17" s="44" t="s">
        <v>33</v>
      </c>
      <c r="N17" s="46">
        <f>E17</f>
        <v>1.7612524461839502E-2</v>
      </c>
      <c r="O17" s="45" t="s">
        <v>34</v>
      </c>
      <c r="P17" s="44" t="s">
        <v>35</v>
      </c>
      <c r="Q17" s="44" t="s">
        <v>36</v>
      </c>
      <c r="R17" s="45">
        <f>C17</f>
        <v>0.90090090090090091</v>
      </c>
      <c r="S17" s="44" t="s">
        <v>33</v>
      </c>
      <c r="T17" s="46">
        <f>G17</f>
        <v>9.9999999999998983E-4</v>
      </c>
      <c r="U17" s="44" t="s">
        <v>37</v>
      </c>
    </row>
    <row r="18" spans="1:21" x14ac:dyDescent="0.25">
      <c r="A18" s="39" t="s">
        <v>38</v>
      </c>
      <c r="B18" s="47">
        <f>H8</f>
        <v>3.4</v>
      </c>
      <c r="C18" s="41">
        <f>1/(B8*1000)*1000</f>
        <v>0.41841004184100417</v>
      </c>
      <c r="D18" s="39">
        <f>ABS(B18-C8)</f>
        <v>4.9999999999999822E-2</v>
      </c>
      <c r="E18" s="42">
        <f>D18/C8</f>
        <v>1.4925373134328304E-2</v>
      </c>
      <c r="F18" s="43">
        <f>ABS(I8-C18)</f>
        <v>1.5899581589958744E-3</v>
      </c>
      <c r="G18" s="42">
        <f t="shared" ref="G18:G19" si="2">F18/C18</f>
        <v>3.8000000000001401E-3</v>
      </c>
      <c r="J18" t="s">
        <v>39</v>
      </c>
      <c r="K18" s="44" t="s">
        <v>40</v>
      </c>
      <c r="L18" s="45">
        <f>C8</f>
        <v>3.35</v>
      </c>
      <c r="M18" s="44" t="s">
        <v>33</v>
      </c>
      <c r="N18" s="46">
        <f t="shared" ref="N18:N19" si="3">E18</f>
        <v>1.4925373134328304E-2</v>
      </c>
      <c r="O18" s="45" t="s">
        <v>34</v>
      </c>
      <c r="P18" s="44" t="s">
        <v>35</v>
      </c>
      <c r="Q18" s="44" t="s">
        <v>36</v>
      </c>
      <c r="R18" s="45">
        <f t="shared" ref="R18:R19" si="4">C18</f>
        <v>0.41841004184100417</v>
      </c>
      <c r="S18" s="44" t="s">
        <v>33</v>
      </c>
      <c r="T18" s="46">
        <f t="shared" ref="T18:T19" si="5">G18</f>
        <v>3.8000000000001401E-3</v>
      </c>
      <c r="U18" s="44" t="s">
        <v>37</v>
      </c>
    </row>
    <row r="19" spans="1:21" x14ac:dyDescent="0.25">
      <c r="A19" s="48" t="s">
        <v>41</v>
      </c>
      <c r="B19" s="49">
        <f>H9</f>
        <v>5.25</v>
      </c>
      <c r="C19" s="50">
        <f>1/(B9*1000)*1000</f>
        <v>0.33003300330033003</v>
      </c>
      <c r="D19" s="48">
        <f>ABS(B19-C9)</f>
        <v>0.12000000000000011</v>
      </c>
      <c r="E19" s="51">
        <f>D19/C9</f>
        <v>2.3391812865497099E-2</v>
      </c>
      <c r="F19" s="52">
        <f>ABS(I9-C19)</f>
        <v>5.033003300330019E-3</v>
      </c>
      <c r="G19" s="51">
        <f t="shared" si="2"/>
        <v>1.5249999999999958E-2</v>
      </c>
      <c r="J19" t="s">
        <v>42</v>
      </c>
      <c r="K19" s="44" t="s">
        <v>40</v>
      </c>
      <c r="L19" s="45">
        <f>C9</f>
        <v>5.13</v>
      </c>
      <c r="M19" s="44" t="s">
        <v>43</v>
      </c>
      <c r="N19" s="46">
        <f t="shared" si="3"/>
        <v>2.3391812865497099E-2</v>
      </c>
      <c r="O19" s="45" t="s">
        <v>34</v>
      </c>
      <c r="P19" s="44" t="s">
        <v>35</v>
      </c>
      <c r="Q19" s="44" t="s">
        <v>36</v>
      </c>
      <c r="R19" s="45">
        <f t="shared" si="4"/>
        <v>0.33003300330033003</v>
      </c>
      <c r="S19" s="44" t="s">
        <v>43</v>
      </c>
      <c r="T19" s="46">
        <f t="shared" si="5"/>
        <v>1.5249999999999958E-2</v>
      </c>
      <c r="U19" s="44" t="s">
        <v>37</v>
      </c>
    </row>
    <row r="20" spans="1:21" x14ac:dyDescent="0.25">
      <c r="D20" s="39"/>
      <c r="E20" s="53"/>
      <c r="F20" s="39"/>
      <c r="G20" s="53"/>
    </row>
    <row r="21" spans="1:21" x14ac:dyDescent="0.25">
      <c r="C21" s="54" t="s">
        <v>44</v>
      </c>
      <c r="D21" s="33">
        <f>AVERAGE(D17:D19)</f>
        <v>8.66666666666666E-2</v>
      </c>
      <c r="E21" s="55">
        <f t="shared" ref="E21:F21" si="6">AVERAGE(E17:E19)</f>
        <v>1.8643236820554968E-2</v>
      </c>
      <c r="F21" s="33">
        <f t="shared" si="6"/>
        <v>2.507954120075595E-3</v>
      </c>
      <c r="G21" s="56">
        <f>AVERAGE(G17:G19)</f>
        <v>6.6833333333333632E-3</v>
      </c>
      <c r="L21" s="32"/>
    </row>
    <row r="22" spans="1:21" x14ac:dyDescent="0.25">
      <c r="D22" s="30" t="s">
        <v>45</v>
      </c>
      <c r="F22" s="30" t="s">
        <v>45</v>
      </c>
    </row>
    <row r="23" spans="1:21" x14ac:dyDescent="0.25">
      <c r="D23" s="38"/>
      <c r="F23" s="38"/>
    </row>
    <row r="24" spans="1:21" x14ac:dyDescent="0.25">
      <c r="B24" s="57" t="s">
        <v>46</v>
      </c>
      <c r="C24" t="s">
        <v>47</v>
      </c>
      <c r="D24" s="32"/>
      <c r="F24" s="32"/>
    </row>
    <row r="25" spans="1:21" x14ac:dyDescent="0.25">
      <c r="B25" t="s">
        <v>48</v>
      </c>
      <c r="C25" t="s">
        <v>49</v>
      </c>
    </row>
  </sheetData>
  <mergeCells count="3">
    <mergeCell ref="B5:G5"/>
    <mergeCell ref="H5:I5"/>
    <mergeCell ref="B13:U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36CE-0307-4AD2-BEE8-C17E1ED8751B}">
  <dimension ref="A1:K25"/>
  <sheetViews>
    <sheetView workbookViewId="0"/>
  </sheetViews>
  <sheetFormatPr defaultRowHeight="14.4" x14ac:dyDescent="0.25"/>
  <cols>
    <col min="2" max="2" width="19.21875" customWidth="1"/>
    <col min="3" max="3" width="16.109375" customWidth="1"/>
    <col min="4" max="4" width="14.77734375" customWidth="1"/>
    <col min="5" max="5" width="14.6640625" customWidth="1"/>
    <col min="6" max="6" width="10.21875" customWidth="1"/>
    <col min="7" max="7" width="5.6640625" customWidth="1"/>
    <col min="8" max="8" width="10.109375" customWidth="1"/>
    <col min="9" max="9" width="3.5546875" customWidth="1"/>
    <col min="10" max="10" width="9.44140625" customWidth="1"/>
    <col min="11" max="11" width="4.21875" customWidth="1"/>
  </cols>
  <sheetData>
    <row r="1" spans="1:11" x14ac:dyDescent="0.25">
      <c r="A1" t="s">
        <v>50</v>
      </c>
    </row>
    <row r="3" spans="1:11" x14ac:dyDescent="0.25">
      <c r="A3" s="58" t="s">
        <v>51</v>
      </c>
      <c r="B3" s="59">
        <v>1</v>
      </c>
      <c r="C3" s="59">
        <v>1</v>
      </c>
      <c r="D3" s="59">
        <v>2</v>
      </c>
      <c r="E3" s="60">
        <v>2</v>
      </c>
    </row>
    <row r="4" spans="1:11" x14ac:dyDescent="0.25">
      <c r="A4" s="39" t="s">
        <v>52</v>
      </c>
      <c r="B4">
        <v>1</v>
      </c>
      <c r="C4">
        <v>2</v>
      </c>
      <c r="D4">
        <v>1</v>
      </c>
      <c r="E4" s="61">
        <v>3</v>
      </c>
    </row>
    <row r="5" spans="1:11" x14ac:dyDescent="0.25">
      <c r="A5" s="39" t="s">
        <v>53</v>
      </c>
      <c r="B5" s="62">
        <v>100.172</v>
      </c>
      <c r="C5" s="62">
        <v>200.3314</v>
      </c>
      <c r="D5" s="62">
        <v>50.082099999999997</v>
      </c>
      <c r="E5" s="63">
        <v>150.24600000000001</v>
      </c>
      <c r="F5" t="s">
        <v>54</v>
      </c>
    </row>
    <row r="6" spans="1:11" x14ac:dyDescent="0.25">
      <c r="A6" s="48" t="s">
        <v>55</v>
      </c>
      <c r="B6" s="64">
        <f>B3*B5/B4</f>
        <v>100.172</v>
      </c>
      <c r="C6" s="64">
        <f>C3*C5/C4</f>
        <v>100.1657</v>
      </c>
      <c r="D6" s="64">
        <f>D3*D5/D4</f>
        <v>100.16419999999999</v>
      </c>
      <c r="E6" s="65">
        <f>E3*E5/E4</f>
        <v>100.164</v>
      </c>
    </row>
    <row r="7" spans="1:11" x14ac:dyDescent="0.25">
      <c r="B7" s="66"/>
      <c r="C7" s="66"/>
      <c r="D7" s="66"/>
      <c r="E7" s="66"/>
    </row>
    <row r="8" spans="1:11" x14ac:dyDescent="0.25">
      <c r="A8" s="67" t="s">
        <v>56</v>
      </c>
      <c r="B8" s="34">
        <f>(B6-$C$10)^2/3</f>
        <v>1.0175208333354606E-5</v>
      </c>
      <c r="C8" s="34">
        <f t="shared" ref="C8:E8" si="0">(C6-$C$10)^2/3</f>
        <v>2.0020833332827011E-7</v>
      </c>
      <c r="D8" s="34">
        <f t="shared" si="0"/>
        <v>1.725208333329333E-6</v>
      </c>
      <c r="E8" s="68">
        <f t="shared" si="0"/>
        <v>2.0418749999831549E-6</v>
      </c>
    </row>
    <row r="10" spans="1:11" x14ac:dyDescent="0.25">
      <c r="B10" s="69" t="s">
        <v>57</v>
      </c>
      <c r="C10" s="70">
        <f>AVERAGE(B6:E6)</f>
        <v>100.16647499999999</v>
      </c>
    </row>
    <row r="11" spans="1:11" x14ac:dyDescent="0.25">
      <c r="B11" s="39" t="s">
        <v>58</v>
      </c>
      <c r="C11" s="61">
        <f>SQRT(SUM(B8:E8))</f>
        <v>3.7606515392941374E-3</v>
      </c>
      <c r="F11" s="57"/>
      <c r="G11" s="57"/>
      <c r="H11" s="71" t="s">
        <v>59</v>
      </c>
      <c r="I11" s="57"/>
      <c r="J11" s="57" t="s">
        <v>60</v>
      </c>
      <c r="K11" s="57"/>
    </row>
    <row r="12" spans="1:11" x14ac:dyDescent="0.25">
      <c r="B12" s="39" t="s">
        <v>61</v>
      </c>
      <c r="C12" s="61">
        <f>C11/SQRT(4)</f>
        <v>1.8803257696470687E-3</v>
      </c>
      <c r="F12" s="57"/>
      <c r="G12" s="57"/>
      <c r="H12" s="72" t="s">
        <v>62</v>
      </c>
      <c r="I12" s="57"/>
      <c r="J12" s="72" t="s">
        <v>62</v>
      </c>
      <c r="K12" s="57"/>
    </row>
    <row r="13" spans="1:11" x14ac:dyDescent="0.25">
      <c r="B13" s="73" t="s">
        <v>63</v>
      </c>
      <c r="C13" s="74">
        <f>C16*C12</f>
        <v>5.9794359474776787E-3</v>
      </c>
      <c r="D13" s="57" t="s">
        <v>60</v>
      </c>
      <c r="F13" s="57" t="s">
        <v>64</v>
      </c>
      <c r="G13" s="75" t="s">
        <v>65</v>
      </c>
      <c r="H13" s="76">
        <f>C10</f>
        <v>100.16647499999999</v>
      </c>
      <c r="I13" s="77" t="s">
        <v>66</v>
      </c>
      <c r="J13" s="78">
        <f>C13</f>
        <v>5.9794359474776787E-3</v>
      </c>
      <c r="K13" s="79" t="s">
        <v>67</v>
      </c>
    </row>
    <row r="14" spans="1:11" x14ac:dyDescent="0.25">
      <c r="F14" s="57"/>
      <c r="G14" s="80"/>
      <c r="H14" s="81" t="s">
        <v>68</v>
      </c>
      <c r="I14" s="82"/>
      <c r="J14" s="81"/>
      <c r="K14" s="83"/>
    </row>
    <row r="15" spans="1:11" x14ac:dyDescent="0.25">
      <c r="B15" t="s">
        <v>69</v>
      </c>
    </row>
    <row r="16" spans="1:11" x14ac:dyDescent="0.25">
      <c r="B16" t="s">
        <v>70</v>
      </c>
      <c r="C16">
        <v>3.18</v>
      </c>
      <c r="H16" t="s">
        <v>71</v>
      </c>
      <c r="J16" s="84">
        <f>C13/C10</f>
        <v>5.9694982253070996E-5</v>
      </c>
    </row>
    <row r="19" spans="2:3" x14ac:dyDescent="0.25">
      <c r="B19" s="57" t="s">
        <v>72</v>
      </c>
    </row>
    <row r="20" spans="2:3" x14ac:dyDescent="0.25">
      <c r="B20" s="57" t="s">
        <v>73</v>
      </c>
    </row>
    <row r="24" spans="2:3" x14ac:dyDescent="0.25">
      <c r="B24" s="57"/>
    </row>
    <row r="25" spans="2:3" x14ac:dyDescent="0.25">
      <c r="B25" t="s">
        <v>48</v>
      </c>
      <c r="C25" t="s">
        <v>74</v>
      </c>
    </row>
  </sheetData>
  <protectedRanges>
    <protectedRange algorithmName="SHA-512" hashValue="EZ54qFQBiANG5MuYW1m8n46tKWE/eQVeKG0Xbti9tRO2NmtHlUnFNg/kjtzQ+DDOQNS1eEMKaMwrT+lwKGa28w==" saltValue="bWzCL/4lg55q98lXJpVB2g==" spinCount="100000" sqref="B24:C25" name="区域1"/>
  </protectedRange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725D-D905-4B4E-B6EE-C4B557F2ADBC}">
  <dimension ref="A1:J24"/>
  <sheetViews>
    <sheetView workbookViewId="0"/>
  </sheetViews>
  <sheetFormatPr defaultRowHeight="14.4" x14ac:dyDescent="0.25"/>
  <cols>
    <col min="2" max="2" width="19.21875" customWidth="1"/>
    <col min="3" max="3" width="16.109375" customWidth="1"/>
    <col min="4" max="4" width="14.77734375" customWidth="1"/>
    <col min="5" max="5" width="10.21875" customWidth="1"/>
    <col min="6" max="6" width="5.6640625" customWidth="1"/>
    <col min="7" max="7" width="11.109375" customWidth="1"/>
    <col min="8" max="8" width="3.5546875" customWidth="1"/>
    <col min="9" max="9" width="9.21875" customWidth="1"/>
    <col min="10" max="10" width="4.21875" customWidth="1"/>
  </cols>
  <sheetData>
    <row r="1" spans="1:10" x14ac:dyDescent="0.25">
      <c r="A1" t="s">
        <v>75</v>
      </c>
    </row>
    <row r="3" spans="1:10" x14ac:dyDescent="0.25">
      <c r="A3" s="58" t="s">
        <v>76</v>
      </c>
      <c r="B3" s="59">
        <v>1</v>
      </c>
      <c r="C3" s="59">
        <v>2</v>
      </c>
      <c r="D3" s="60">
        <v>3</v>
      </c>
    </row>
    <row r="4" spans="1:10" x14ac:dyDescent="0.25">
      <c r="A4" s="39" t="s">
        <v>53</v>
      </c>
      <c r="B4" s="62">
        <v>100.163</v>
      </c>
      <c r="C4" s="62">
        <v>50.081699999999998</v>
      </c>
      <c r="D4" s="63">
        <v>33.387700000000002</v>
      </c>
      <c r="E4" t="s">
        <v>54</v>
      </c>
    </row>
    <row r="5" spans="1:10" x14ac:dyDescent="0.25">
      <c r="A5" s="48" t="s">
        <v>55</v>
      </c>
      <c r="B5" s="64">
        <f>B4*B3</f>
        <v>100.163</v>
      </c>
      <c r="C5" s="64">
        <f t="shared" ref="C5:D5" si="0">C4*C3</f>
        <v>100.1634</v>
      </c>
      <c r="D5" s="65">
        <f t="shared" si="0"/>
        <v>100.16310000000001</v>
      </c>
    </row>
    <row r="6" spans="1:10" x14ac:dyDescent="0.25">
      <c r="B6" s="66"/>
      <c r="C6" s="66"/>
      <c r="D6" s="66"/>
    </row>
    <row r="7" spans="1:10" x14ac:dyDescent="0.25">
      <c r="A7" s="67" t="s">
        <v>77</v>
      </c>
      <c r="B7" s="34">
        <f>(B5-$C$9)^2/2</f>
        <v>1.3888888889811015E-8</v>
      </c>
      <c r="C7" s="34">
        <f t="shared" ref="C7:D7" si="1">(C5-$C$9)^2/2</f>
        <v>2.7222222220713723E-8</v>
      </c>
      <c r="D7" s="68">
        <f t="shared" si="1"/>
        <v>2.222222221422372E-9</v>
      </c>
    </row>
    <row r="9" spans="1:10" x14ac:dyDescent="0.25">
      <c r="B9" s="69" t="s">
        <v>57</v>
      </c>
      <c r="C9" s="70">
        <f>AVERAGE(B5:D5)</f>
        <v>100.16316666666667</v>
      </c>
    </row>
    <row r="10" spans="1:10" x14ac:dyDescent="0.25">
      <c r="B10" s="39" t="s">
        <v>58</v>
      </c>
      <c r="C10" s="61">
        <f>SQRT(SUM(B7:D7))</f>
        <v>2.0816659994328366E-4</v>
      </c>
      <c r="E10" s="57"/>
      <c r="F10" s="57"/>
      <c r="G10" s="71" t="s">
        <v>59</v>
      </c>
      <c r="H10" s="57"/>
      <c r="I10" s="57" t="s">
        <v>60</v>
      </c>
      <c r="J10" s="57"/>
    </row>
    <row r="11" spans="1:10" x14ac:dyDescent="0.25">
      <c r="B11" s="39" t="s">
        <v>61</v>
      </c>
      <c r="C11" s="61">
        <f>C10/SQRT(3)</f>
        <v>1.2018504251354397E-4</v>
      </c>
      <c r="E11" s="57"/>
      <c r="F11" s="57"/>
      <c r="G11" s="72" t="s">
        <v>62</v>
      </c>
      <c r="H11" s="57"/>
      <c r="I11" s="72" t="s">
        <v>62</v>
      </c>
      <c r="J11" s="57"/>
    </row>
    <row r="12" spans="1:10" x14ac:dyDescent="0.25">
      <c r="B12" s="73" t="s">
        <v>63</v>
      </c>
      <c r="C12" s="74">
        <f>C15*C11</f>
        <v>5.16795682808239E-4</v>
      </c>
      <c r="D12" s="57" t="s">
        <v>60</v>
      </c>
      <c r="E12" s="57" t="s">
        <v>64</v>
      </c>
      <c r="F12" s="75" t="s">
        <v>65</v>
      </c>
      <c r="G12" s="85">
        <f>C9</f>
        <v>100.16316666666667</v>
      </c>
      <c r="H12" s="77" t="s">
        <v>66</v>
      </c>
      <c r="I12" s="86">
        <f>C12</f>
        <v>5.16795682808239E-4</v>
      </c>
      <c r="J12" s="79" t="s">
        <v>67</v>
      </c>
    </row>
    <row r="13" spans="1:10" x14ac:dyDescent="0.25">
      <c r="E13" s="57"/>
      <c r="F13" s="80"/>
      <c r="G13" s="81" t="s">
        <v>68</v>
      </c>
      <c r="H13" s="82"/>
      <c r="I13" s="81"/>
      <c r="J13" s="83"/>
    </row>
    <row r="14" spans="1:10" x14ac:dyDescent="0.25">
      <c r="B14" t="s">
        <v>78</v>
      </c>
    </row>
    <row r="15" spans="1:10" x14ac:dyDescent="0.25">
      <c r="B15" t="s">
        <v>70</v>
      </c>
      <c r="C15" s="18">
        <v>4.3</v>
      </c>
      <c r="G15" t="s">
        <v>71</v>
      </c>
      <c r="I15" s="87">
        <f>C12/C9</f>
        <v>5.1595381816160528E-6</v>
      </c>
    </row>
    <row r="18" spans="2:3" x14ac:dyDescent="0.25">
      <c r="B18" s="57" t="s">
        <v>72</v>
      </c>
    </row>
    <row r="19" spans="2:3" x14ac:dyDescent="0.25">
      <c r="B19" s="57" t="s">
        <v>73</v>
      </c>
    </row>
    <row r="23" spans="2:3" x14ac:dyDescent="0.25">
      <c r="B23" s="57"/>
    </row>
    <row r="24" spans="2:3" x14ac:dyDescent="0.25">
      <c r="B24" t="s">
        <v>48</v>
      </c>
      <c r="C24" t="s">
        <v>74</v>
      </c>
    </row>
  </sheetData>
  <protectedRanges>
    <protectedRange algorithmName="SHA-512" hashValue="EZ54qFQBiANG5MuYW1m8n46tKWE/eQVeKG0Xbti9tRO2NmtHlUnFNg/kjtzQ+DDOQNS1eEMKaMwrT+lwKGa28w==" saltValue="bWzCL/4lg55q98lXJpVB2g==" spinCount="100000" sqref="B23:C24" name="区域1"/>
  </protectedRange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C015-E048-4220-BE40-95F7A6B80488}">
  <dimension ref="A1:S38"/>
  <sheetViews>
    <sheetView zoomScale="75" zoomScaleNormal="75" workbookViewId="0"/>
  </sheetViews>
  <sheetFormatPr defaultRowHeight="14.4" x14ac:dyDescent="0.25"/>
  <cols>
    <col min="1" max="1" width="5.6640625" customWidth="1"/>
    <col min="2" max="2" width="15" customWidth="1"/>
    <col min="3" max="3" width="16.109375" bestFit="1" customWidth="1"/>
    <col min="4" max="5" width="17.109375" customWidth="1"/>
    <col min="6" max="7" width="11.6640625" customWidth="1"/>
    <col min="8" max="8" width="12.88671875" customWidth="1"/>
    <col min="9" max="9" width="13.44140625" customWidth="1"/>
    <col min="11" max="11" width="9.5546875" bestFit="1" customWidth="1"/>
    <col min="12" max="12" width="17.21875" bestFit="1" customWidth="1"/>
    <col min="13" max="13" width="18.33203125" bestFit="1" customWidth="1"/>
    <col min="14" max="14" width="13.88671875" customWidth="1"/>
    <col min="15" max="15" width="12.6640625" customWidth="1"/>
    <col min="16" max="16" width="11.6640625" bestFit="1" customWidth="1"/>
    <col min="18" max="18" width="14.5546875" bestFit="1" customWidth="1"/>
    <col min="19" max="19" width="14" customWidth="1"/>
  </cols>
  <sheetData>
    <row r="1" spans="1:19" x14ac:dyDescent="0.25">
      <c r="A1" t="s">
        <v>8</v>
      </c>
      <c r="B1" t="s">
        <v>80</v>
      </c>
      <c r="C1" t="s">
        <v>81</v>
      </c>
      <c r="D1" t="s">
        <v>82</v>
      </c>
      <c r="E1" s="88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</row>
    <row r="2" spans="1:19" x14ac:dyDescent="0.25">
      <c r="A2">
        <v>1</v>
      </c>
      <c r="B2">
        <v>5</v>
      </c>
      <c r="C2">
        <f>B2/2/SQRT(2)</f>
        <v>1.7677669529663687</v>
      </c>
      <c r="D2" s="66">
        <v>50</v>
      </c>
      <c r="E2">
        <f>2*PI()*D2</f>
        <v>314.15926535897933</v>
      </c>
      <c r="F2">
        <v>100</v>
      </c>
      <c r="G2">
        <v>0.1</v>
      </c>
      <c r="H2">
        <f>G2*10^(-6)</f>
        <v>9.9999999999999995E-8</v>
      </c>
      <c r="I2">
        <v>2</v>
      </c>
      <c r="J2" s="18">
        <v>2.4700000000000002</v>
      </c>
      <c r="K2" s="89">
        <f t="shared" ref="K2:K37" si="0">LOG10(D2)</f>
        <v>1.6989700043360187</v>
      </c>
      <c r="L2">
        <f>I2*J2</f>
        <v>4.9400000000000004</v>
      </c>
      <c r="M2">
        <f>L2/2/SQRT(2)</f>
        <v>1.7465537495307724</v>
      </c>
      <c r="N2">
        <f>SQRT(((C2/M2)^2-1))/(E2*H2)</f>
        <v>4976.1331866924629</v>
      </c>
      <c r="O2">
        <f t="shared" ref="O2:O37" si="1">C2/SQRT((H2*F2*E2)^2+1)</f>
        <v>1.7677582294506924</v>
      </c>
      <c r="P2" s="90">
        <f t="shared" ref="P2:P37" si="2">ABS((O2-M2)/O2)</f>
        <v>1.1995124427455806E-2</v>
      </c>
      <c r="Q2">
        <f>(((C2/O2)^2)-1)/(E2*H2)</f>
        <v>0.31415926535162703</v>
      </c>
    </row>
    <row r="3" spans="1:19" x14ac:dyDescent="0.25">
      <c r="A3">
        <v>2</v>
      </c>
      <c r="B3">
        <v>5</v>
      </c>
      <c r="C3">
        <f>B3/2/SQRT(2)</f>
        <v>1.7677669529663687</v>
      </c>
      <c r="D3" s="66">
        <v>100</v>
      </c>
      <c r="E3">
        <f>2*PI()*D3</f>
        <v>628.31853071795865</v>
      </c>
      <c r="F3">
        <v>100</v>
      </c>
      <c r="G3">
        <v>0.1</v>
      </c>
      <c r="H3">
        <f>G3*10^(-6)</f>
        <v>9.9999999999999995E-8</v>
      </c>
      <c r="I3">
        <v>2</v>
      </c>
      <c r="J3" s="18">
        <v>2.5</v>
      </c>
      <c r="K3" s="89">
        <f t="shared" si="0"/>
        <v>2</v>
      </c>
      <c r="L3">
        <f>I3*J3</f>
        <v>5</v>
      </c>
      <c r="M3">
        <f>L3/2/SQRT(2)</f>
        <v>1.7677669529663687</v>
      </c>
      <c r="N3">
        <f>SQRT(((C3/M3)^2-1))/(E3*H3)</f>
        <v>0</v>
      </c>
      <c r="O3">
        <f t="shared" si="1"/>
        <v>1.767732059678516</v>
      </c>
      <c r="P3" s="90">
        <f t="shared" si="2"/>
        <v>1.9739013987794174E-5</v>
      </c>
      <c r="R3" t="s">
        <v>94</v>
      </c>
      <c r="S3" s="91">
        <f>AVERAGE(P2:P37)</f>
        <v>0.24060938150001826</v>
      </c>
    </row>
    <row r="4" spans="1:19" x14ac:dyDescent="0.25">
      <c r="A4">
        <v>3</v>
      </c>
      <c r="B4">
        <v>5</v>
      </c>
      <c r="C4">
        <f>B4/2/SQRT(2)</f>
        <v>1.7677669529663687</v>
      </c>
      <c r="D4" s="66">
        <v>500</v>
      </c>
      <c r="E4">
        <f>2*PI()*D4</f>
        <v>3141.5926535897929</v>
      </c>
      <c r="F4">
        <v>100</v>
      </c>
      <c r="G4">
        <v>0.1</v>
      </c>
      <c r="H4">
        <f>G4*10^(-6)</f>
        <v>9.9999999999999995E-8</v>
      </c>
      <c r="I4">
        <v>1</v>
      </c>
      <c r="J4" s="18">
        <v>5.05</v>
      </c>
      <c r="K4" s="89">
        <f t="shared" si="0"/>
        <v>2.6989700043360187</v>
      </c>
      <c r="L4">
        <f>I4*J4</f>
        <v>5.05</v>
      </c>
      <c r="M4">
        <f>L4/2/SQRT(2)</f>
        <v>1.7854446224960323</v>
      </c>
      <c r="N4" t="e">
        <f>SQRT(((C4/M4)^2-1))/(E4*H4)</f>
        <v>#NUM!</v>
      </c>
      <c r="O4">
        <f t="shared" si="1"/>
        <v>1.7668952401479197</v>
      </c>
      <c r="P4" s="90">
        <f t="shared" si="2"/>
        <v>1.0498292103927876E-2</v>
      </c>
    </row>
    <row r="5" spans="1:19" x14ac:dyDescent="0.25">
      <c r="A5">
        <v>4</v>
      </c>
      <c r="B5">
        <v>5</v>
      </c>
      <c r="C5">
        <f t="shared" ref="C5:C37" si="3">B5/2/SQRT(2)</f>
        <v>1.7677669529663687</v>
      </c>
      <c r="D5" s="66">
        <v>1000</v>
      </c>
      <c r="E5">
        <f t="shared" ref="E5:E37" si="4">2*PI()*D5</f>
        <v>6283.1853071795858</v>
      </c>
      <c r="F5">
        <v>100</v>
      </c>
      <c r="G5">
        <v>0.1</v>
      </c>
      <c r="H5">
        <f t="shared" ref="H5:H37" si="5">G5*10^(-6)</f>
        <v>9.9999999999999995E-8</v>
      </c>
      <c r="I5">
        <v>1</v>
      </c>
      <c r="J5" s="18">
        <v>5</v>
      </c>
      <c r="K5" s="89">
        <f t="shared" si="0"/>
        <v>3</v>
      </c>
      <c r="L5">
        <f t="shared" ref="L5:L37" si="6">I5*J5</f>
        <v>5</v>
      </c>
      <c r="M5">
        <f t="shared" ref="M5:M37" si="7">L5/2/SQRT(2)</f>
        <v>1.7677669529663687</v>
      </c>
      <c r="N5">
        <f t="shared" ref="N5:N37" si="8">SQRT(((C5/M5)^2-1))/(E5*H5)</f>
        <v>0</v>
      </c>
      <c r="O5">
        <f t="shared" si="1"/>
        <v>1.7642878187876301</v>
      </c>
      <c r="P5" s="90">
        <f t="shared" si="2"/>
        <v>1.9719765344915997E-3</v>
      </c>
    </row>
    <row r="6" spans="1:19" x14ac:dyDescent="0.25">
      <c r="A6">
        <v>5</v>
      </c>
      <c r="B6">
        <v>5</v>
      </c>
      <c r="C6">
        <f t="shared" si="3"/>
        <v>1.7677669529663687</v>
      </c>
      <c r="D6" s="66">
        <v>2000</v>
      </c>
      <c r="E6">
        <f t="shared" si="4"/>
        <v>12566.370614359172</v>
      </c>
      <c r="F6">
        <v>100</v>
      </c>
      <c r="G6">
        <v>0.1</v>
      </c>
      <c r="H6">
        <f t="shared" si="5"/>
        <v>9.9999999999999995E-8</v>
      </c>
      <c r="I6">
        <v>1</v>
      </c>
      <c r="J6" s="18">
        <v>4.93</v>
      </c>
      <c r="K6" s="89">
        <f t="shared" si="0"/>
        <v>3.3010299956639813</v>
      </c>
      <c r="L6">
        <f t="shared" si="6"/>
        <v>4.93</v>
      </c>
      <c r="M6">
        <f t="shared" si="7"/>
        <v>1.7430182156248395</v>
      </c>
      <c r="N6">
        <f t="shared" si="8"/>
        <v>134.57576614672956</v>
      </c>
      <c r="O6">
        <f t="shared" si="1"/>
        <v>1.7539723875378734</v>
      </c>
      <c r="P6" s="90">
        <f t="shared" si="2"/>
        <v>6.2453502637010048E-3</v>
      </c>
    </row>
    <row r="7" spans="1:19" x14ac:dyDescent="0.25">
      <c r="A7">
        <v>6</v>
      </c>
      <c r="B7">
        <v>5</v>
      </c>
      <c r="C7">
        <f t="shared" si="3"/>
        <v>1.7677669529663687</v>
      </c>
      <c r="D7" s="66">
        <v>5000</v>
      </c>
      <c r="E7">
        <f t="shared" si="4"/>
        <v>31415.926535897932</v>
      </c>
      <c r="F7">
        <v>100</v>
      </c>
      <c r="G7">
        <v>0.1</v>
      </c>
      <c r="H7">
        <f t="shared" si="5"/>
        <v>9.9999999999999995E-8</v>
      </c>
      <c r="I7">
        <v>1</v>
      </c>
      <c r="J7" s="18">
        <v>4.47</v>
      </c>
      <c r="K7" s="89">
        <f t="shared" si="0"/>
        <v>3.6989700043360187</v>
      </c>
      <c r="L7">
        <f t="shared" si="6"/>
        <v>4.47</v>
      </c>
      <c r="M7">
        <f t="shared" si="7"/>
        <v>1.5803836559519335</v>
      </c>
      <c r="N7">
        <f t="shared" si="8"/>
        <v>159.53483535983602</v>
      </c>
      <c r="O7">
        <f t="shared" si="1"/>
        <v>1.6864995531112985</v>
      </c>
      <c r="P7" s="90">
        <f t="shared" si="2"/>
        <v>6.2920797674449178E-2</v>
      </c>
    </row>
    <row r="8" spans="1:19" x14ac:dyDescent="0.25">
      <c r="A8">
        <v>7</v>
      </c>
      <c r="B8">
        <v>5</v>
      </c>
      <c r="C8">
        <f t="shared" si="3"/>
        <v>1.7677669529663687</v>
      </c>
      <c r="D8" s="66">
        <v>6000</v>
      </c>
      <c r="E8">
        <f t="shared" si="4"/>
        <v>37699.111843077517</v>
      </c>
      <c r="F8">
        <v>100</v>
      </c>
      <c r="G8">
        <v>0.1</v>
      </c>
      <c r="H8">
        <f t="shared" si="5"/>
        <v>9.9999999999999995E-8</v>
      </c>
      <c r="I8">
        <v>1</v>
      </c>
      <c r="J8" s="18">
        <v>4.32</v>
      </c>
      <c r="K8" s="89">
        <f t="shared" si="0"/>
        <v>3.7781512503836434</v>
      </c>
      <c r="L8">
        <f t="shared" si="6"/>
        <v>4.32</v>
      </c>
      <c r="M8">
        <f t="shared" si="7"/>
        <v>1.5273506473629426</v>
      </c>
      <c r="N8">
        <f t="shared" si="8"/>
        <v>154.57795126386441</v>
      </c>
      <c r="O8">
        <f t="shared" si="1"/>
        <v>1.654126443796341</v>
      </c>
      <c r="P8" s="90">
        <f t="shared" si="2"/>
        <v>7.6642143597220241E-2</v>
      </c>
    </row>
    <row r="9" spans="1:19" x14ac:dyDescent="0.25">
      <c r="A9">
        <v>8</v>
      </c>
      <c r="B9">
        <v>5</v>
      </c>
      <c r="C9">
        <f t="shared" si="3"/>
        <v>1.7677669529663687</v>
      </c>
      <c r="D9" s="66">
        <v>7500</v>
      </c>
      <c r="E9">
        <f t="shared" si="4"/>
        <v>47123.889803846898</v>
      </c>
      <c r="F9">
        <v>100</v>
      </c>
      <c r="G9">
        <v>0.1</v>
      </c>
      <c r="H9">
        <f t="shared" si="5"/>
        <v>9.9999999999999995E-8</v>
      </c>
      <c r="I9">
        <v>1</v>
      </c>
      <c r="J9" s="18">
        <v>4</v>
      </c>
      <c r="K9" s="89">
        <f t="shared" si="0"/>
        <v>3.8750612633917001</v>
      </c>
      <c r="L9">
        <f t="shared" si="6"/>
        <v>4</v>
      </c>
      <c r="M9">
        <f t="shared" si="7"/>
        <v>1.4142135623730949</v>
      </c>
      <c r="N9">
        <f t="shared" si="8"/>
        <v>159.15494309189535</v>
      </c>
      <c r="O9">
        <f t="shared" si="1"/>
        <v>1.5991075086560784</v>
      </c>
      <c r="P9" s="90">
        <f t="shared" si="2"/>
        <v>0.11562321187421103</v>
      </c>
    </row>
    <row r="10" spans="1:19" x14ac:dyDescent="0.25">
      <c r="A10">
        <v>9</v>
      </c>
      <c r="B10">
        <v>5</v>
      </c>
      <c r="C10">
        <f t="shared" si="3"/>
        <v>1.7677669529663687</v>
      </c>
      <c r="D10" s="66">
        <v>9000</v>
      </c>
      <c r="E10">
        <f t="shared" si="4"/>
        <v>56548.667764616279</v>
      </c>
      <c r="F10">
        <v>100</v>
      </c>
      <c r="G10">
        <v>0.1</v>
      </c>
      <c r="H10">
        <f t="shared" si="5"/>
        <v>9.9999999999999995E-8</v>
      </c>
      <c r="I10">
        <v>1</v>
      </c>
      <c r="J10" s="18">
        <v>3.7</v>
      </c>
      <c r="K10" s="89">
        <f t="shared" si="0"/>
        <v>3.9542425094393248</v>
      </c>
      <c r="L10">
        <f t="shared" si="6"/>
        <v>3.7</v>
      </c>
      <c r="M10">
        <f t="shared" si="7"/>
        <v>1.308147545195113</v>
      </c>
      <c r="N10">
        <f t="shared" si="8"/>
        <v>160.73379569395848</v>
      </c>
      <c r="O10">
        <f t="shared" si="1"/>
        <v>1.5387746819619692</v>
      </c>
      <c r="P10" s="90">
        <f t="shared" si="2"/>
        <v>0.14987713241603501</v>
      </c>
    </row>
    <row r="11" spans="1:19" x14ac:dyDescent="0.25">
      <c r="A11">
        <v>10</v>
      </c>
      <c r="B11">
        <v>5</v>
      </c>
      <c r="C11">
        <f t="shared" si="3"/>
        <v>1.7677669529663687</v>
      </c>
      <c r="D11" s="66">
        <v>10000</v>
      </c>
      <c r="E11">
        <f t="shared" si="4"/>
        <v>62831.853071795864</v>
      </c>
      <c r="F11">
        <v>100</v>
      </c>
      <c r="G11">
        <v>0.1</v>
      </c>
      <c r="H11">
        <f t="shared" si="5"/>
        <v>9.9999999999999995E-8</v>
      </c>
      <c r="I11">
        <v>1</v>
      </c>
      <c r="J11" s="18">
        <v>3.5</v>
      </c>
      <c r="K11" s="89">
        <f t="shared" si="0"/>
        <v>4</v>
      </c>
      <c r="L11">
        <f t="shared" si="6"/>
        <v>3.5</v>
      </c>
      <c r="M11">
        <f t="shared" si="7"/>
        <v>1.2374368670764582</v>
      </c>
      <c r="N11">
        <f t="shared" si="8"/>
        <v>162.37051930565437</v>
      </c>
      <c r="O11">
        <f t="shared" si="1"/>
        <v>1.4968266436081719</v>
      </c>
      <c r="P11" s="90">
        <f t="shared" si="2"/>
        <v>0.17329313159902224</v>
      </c>
    </row>
    <row r="12" spans="1:19" x14ac:dyDescent="0.25">
      <c r="A12">
        <v>11</v>
      </c>
      <c r="B12">
        <v>5</v>
      </c>
      <c r="C12">
        <f t="shared" si="3"/>
        <v>1.7677669529663687</v>
      </c>
      <c r="D12" s="66">
        <v>11000</v>
      </c>
      <c r="E12">
        <f t="shared" si="4"/>
        <v>69115.038378975441</v>
      </c>
      <c r="F12">
        <v>100</v>
      </c>
      <c r="G12">
        <v>0.1</v>
      </c>
      <c r="H12">
        <f t="shared" si="5"/>
        <v>9.9999999999999995E-8</v>
      </c>
      <c r="I12">
        <v>1</v>
      </c>
      <c r="J12" s="18">
        <v>3.33</v>
      </c>
      <c r="K12" s="89">
        <f t="shared" si="0"/>
        <v>4.0413926851582254</v>
      </c>
      <c r="L12">
        <f t="shared" si="6"/>
        <v>3.33</v>
      </c>
      <c r="M12">
        <f t="shared" si="7"/>
        <v>1.1773327906756015</v>
      </c>
      <c r="N12">
        <f t="shared" si="8"/>
        <v>162.05556497232303</v>
      </c>
      <c r="O12">
        <f t="shared" si="1"/>
        <v>1.4542313814604286</v>
      </c>
      <c r="P12" s="90">
        <f t="shared" si="2"/>
        <v>0.19040889525210805</v>
      </c>
    </row>
    <row r="13" spans="1:19" x14ac:dyDescent="0.25">
      <c r="A13">
        <v>12</v>
      </c>
      <c r="B13">
        <v>5</v>
      </c>
      <c r="C13">
        <f t="shared" si="3"/>
        <v>1.7677669529663687</v>
      </c>
      <c r="D13" s="66">
        <v>12000</v>
      </c>
      <c r="E13">
        <f t="shared" si="4"/>
        <v>75398.223686155034</v>
      </c>
      <c r="F13">
        <v>100</v>
      </c>
      <c r="G13">
        <v>0.1</v>
      </c>
      <c r="H13">
        <f t="shared" si="5"/>
        <v>9.9999999999999995E-8</v>
      </c>
      <c r="I13">
        <v>1</v>
      </c>
      <c r="J13" s="18">
        <v>3.15</v>
      </c>
      <c r="K13" s="89">
        <f t="shared" si="0"/>
        <v>4.0791812460476251</v>
      </c>
      <c r="L13">
        <f t="shared" si="6"/>
        <v>3.15</v>
      </c>
      <c r="M13">
        <f t="shared" si="7"/>
        <v>1.1136931803688122</v>
      </c>
      <c r="N13">
        <f t="shared" si="8"/>
        <v>163.49068007493267</v>
      </c>
      <c r="O13">
        <f t="shared" si="1"/>
        <v>1.4115109208822194</v>
      </c>
      <c r="P13" s="90">
        <f t="shared" si="2"/>
        <v>0.21099216173776811</v>
      </c>
    </row>
    <row r="14" spans="1:19" x14ac:dyDescent="0.25">
      <c r="A14">
        <v>13</v>
      </c>
      <c r="B14">
        <v>5</v>
      </c>
      <c r="C14">
        <f t="shared" si="3"/>
        <v>1.7677669529663687</v>
      </c>
      <c r="D14" s="66">
        <v>13000</v>
      </c>
      <c r="E14">
        <f t="shared" si="4"/>
        <v>81681.408993334626</v>
      </c>
      <c r="F14">
        <v>100</v>
      </c>
      <c r="G14">
        <v>0.1</v>
      </c>
      <c r="H14">
        <f t="shared" si="5"/>
        <v>9.9999999999999995E-8</v>
      </c>
      <c r="I14">
        <v>1</v>
      </c>
      <c r="J14" s="18">
        <v>3</v>
      </c>
      <c r="K14" s="89">
        <f t="shared" si="0"/>
        <v>4.1139433523068369</v>
      </c>
      <c r="L14">
        <f t="shared" si="6"/>
        <v>3</v>
      </c>
      <c r="M14">
        <f t="shared" si="7"/>
        <v>1.0606601717798212</v>
      </c>
      <c r="N14">
        <f t="shared" si="8"/>
        <v>163.2358390686106</v>
      </c>
      <c r="O14">
        <f t="shared" si="1"/>
        <v>1.3690934105358927</v>
      </c>
      <c r="P14" s="90">
        <f t="shared" si="2"/>
        <v>0.22528283050850717</v>
      </c>
    </row>
    <row r="15" spans="1:19" x14ac:dyDescent="0.25">
      <c r="A15">
        <v>14</v>
      </c>
      <c r="B15">
        <v>5</v>
      </c>
      <c r="C15">
        <f t="shared" si="3"/>
        <v>1.7677669529663687</v>
      </c>
      <c r="D15" s="66">
        <v>14000</v>
      </c>
      <c r="E15">
        <f t="shared" si="4"/>
        <v>87964.594300514203</v>
      </c>
      <c r="F15">
        <v>100</v>
      </c>
      <c r="G15">
        <v>0.1</v>
      </c>
      <c r="H15">
        <f t="shared" si="5"/>
        <v>9.9999999999999995E-8</v>
      </c>
      <c r="I15">
        <v>1</v>
      </c>
      <c r="J15" s="18">
        <v>2.9</v>
      </c>
      <c r="K15" s="89">
        <f t="shared" si="0"/>
        <v>4.1461280356782382</v>
      </c>
      <c r="L15">
        <f t="shared" si="6"/>
        <v>2.9</v>
      </c>
      <c r="M15">
        <f t="shared" si="7"/>
        <v>1.0253048327204939</v>
      </c>
      <c r="N15">
        <f t="shared" si="8"/>
        <v>159.66778151392302</v>
      </c>
      <c r="O15">
        <f t="shared" si="1"/>
        <v>1.3273195864175507</v>
      </c>
      <c r="P15" s="90">
        <f t="shared" si="2"/>
        <v>0.22753732920659878</v>
      </c>
    </row>
    <row r="16" spans="1:19" x14ac:dyDescent="0.25">
      <c r="A16">
        <v>15</v>
      </c>
      <c r="B16">
        <v>5</v>
      </c>
      <c r="C16">
        <f t="shared" si="3"/>
        <v>1.7677669529663687</v>
      </c>
      <c r="D16" s="66">
        <v>15000</v>
      </c>
      <c r="E16">
        <f t="shared" si="4"/>
        <v>94247.779607693796</v>
      </c>
      <c r="F16">
        <v>100</v>
      </c>
      <c r="G16">
        <v>0.1</v>
      </c>
      <c r="H16">
        <f t="shared" si="5"/>
        <v>9.9999999999999995E-8</v>
      </c>
      <c r="I16">
        <v>1</v>
      </c>
      <c r="J16" s="18">
        <v>2.75</v>
      </c>
      <c r="K16" s="89">
        <f t="shared" si="0"/>
        <v>4.1760912590556813</v>
      </c>
      <c r="L16">
        <f t="shared" si="6"/>
        <v>2.75</v>
      </c>
      <c r="M16">
        <f t="shared" si="7"/>
        <v>0.97227182413150282</v>
      </c>
      <c r="N16">
        <f t="shared" si="8"/>
        <v>161.11585823914453</v>
      </c>
      <c r="O16">
        <f t="shared" si="1"/>
        <v>1.2864520655713023</v>
      </c>
      <c r="P16" s="90">
        <f t="shared" si="2"/>
        <v>0.24422226824306489</v>
      </c>
    </row>
    <row r="17" spans="1:16" x14ac:dyDescent="0.25">
      <c r="A17">
        <v>16</v>
      </c>
      <c r="B17">
        <v>5</v>
      </c>
      <c r="C17">
        <f t="shared" si="3"/>
        <v>1.7677669529663687</v>
      </c>
      <c r="D17" s="66">
        <v>16000</v>
      </c>
      <c r="E17">
        <f t="shared" si="4"/>
        <v>100530.96491487337</v>
      </c>
      <c r="F17">
        <v>100</v>
      </c>
      <c r="G17">
        <v>0.1</v>
      </c>
      <c r="H17">
        <f t="shared" si="5"/>
        <v>9.9999999999999995E-8</v>
      </c>
      <c r="I17">
        <v>0.5</v>
      </c>
      <c r="J17" s="18">
        <v>5.2</v>
      </c>
      <c r="K17" s="89">
        <f t="shared" si="0"/>
        <v>4.204119982655925</v>
      </c>
      <c r="L17">
        <f t="shared" si="6"/>
        <v>2.6</v>
      </c>
      <c r="M17">
        <f t="shared" si="7"/>
        <v>0.91923881554251174</v>
      </c>
      <c r="N17">
        <f t="shared" si="8"/>
        <v>163.39517130670737</v>
      </c>
      <c r="O17">
        <f t="shared" si="1"/>
        <v>1.2466858859345953</v>
      </c>
      <c r="P17" s="90">
        <f t="shared" si="2"/>
        <v>0.26265402864219345</v>
      </c>
    </row>
    <row r="18" spans="1:16" x14ac:dyDescent="0.25">
      <c r="A18">
        <v>17</v>
      </c>
      <c r="B18">
        <v>5</v>
      </c>
      <c r="C18">
        <f t="shared" si="3"/>
        <v>1.7677669529663687</v>
      </c>
      <c r="D18" s="66">
        <v>17000</v>
      </c>
      <c r="E18">
        <f t="shared" si="4"/>
        <v>106814.15022205297</v>
      </c>
      <c r="F18">
        <v>100</v>
      </c>
      <c r="G18">
        <v>0.1</v>
      </c>
      <c r="H18">
        <f t="shared" si="5"/>
        <v>9.9999999999999995E-8</v>
      </c>
      <c r="I18">
        <v>0.5</v>
      </c>
      <c r="J18" s="18">
        <v>4.97</v>
      </c>
      <c r="K18" s="89">
        <f t="shared" si="0"/>
        <v>4.2304489213782741</v>
      </c>
      <c r="L18">
        <f t="shared" si="6"/>
        <v>2.4849999999999999</v>
      </c>
      <c r="M18">
        <f t="shared" si="7"/>
        <v>0.87858017562428514</v>
      </c>
      <c r="N18">
        <f t="shared" si="8"/>
        <v>163.45932991111084</v>
      </c>
      <c r="O18">
        <f t="shared" si="1"/>
        <v>1.2081591722796843</v>
      </c>
      <c r="P18" s="90">
        <f t="shared" si="2"/>
        <v>0.27279435046088685</v>
      </c>
    </row>
    <row r="19" spans="1:16" x14ac:dyDescent="0.25">
      <c r="A19">
        <v>18</v>
      </c>
      <c r="B19">
        <v>5</v>
      </c>
      <c r="C19">
        <f t="shared" si="3"/>
        <v>1.7677669529663687</v>
      </c>
      <c r="D19" s="66">
        <v>18000</v>
      </c>
      <c r="E19">
        <f t="shared" si="4"/>
        <v>113097.33552923256</v>
      </c>
      <c r="F19">
        <v>100</v>
      </c>
      <c r="G19">
        <v>0.1</v>
      </c>
      <c r="H19">
        <f t="shared" si="5"/>
        <v>9.9999999999999995E-8</v>
      </c>
      <c r="I19">
        <v>0.5</v>
      </c>
      <c r="J19" s="18">
        <v>4.75</v>
      </c>
      <c r="K19" s="89">
        <f t="shared" si="0"/>
        <v>4.2552725051033065</v>
      </c>
      <c r="L19">
        <f t="shared" si="6"/>
        <v>2.375</v>
      </c>
      <c r="M19">
        <f t="shared" si="7"/>
        <v>0.83968930265902508</v>
      </c>
      <c r="N19">
        <f t="shared" si="8"/>
        <v>163.80595225613845</v>
      </c>
      <c r="O19">
        <f t="shared" si="1"/>
        <v>1.1709632108569532</v>
      </c>
      <c r="P19" s="90">
        <f t="shared" si="2"/>
        <v>0.28290718711434998</v>
      </c>
    </row>
    <row r="20" spans="1:16" x14ac:dyDescent="0.25">
      <c r="A20">
        <v>19</v>
      </c>
      <c r="B20">
        <v>5</v>
      </c>
      <c r="C20">
        <f t="shared" si="3"/>
        <v>1.7677669529663687</v>
      </c>
      <c r="D20" s="66">
        <v>19000</v>
      </c>
      <c r="E20">
        <f t="shared" si="4"/>
        <v>119380.52083641214</v>
      </c>
      <c r="F20">
        <v>100</v>
      </c>
      <c r="G20">
        <v>0.1</v>
      </c>
      <c r="H20">
        <f t="shared" si="5"/>
        <v>9.9999999999999995E-8</v>
      </c>
      <c r="I20">
        <v>0.5</v>
      </c>
      <c r="J20" s="18">
        <v>4.55</v>
      </c>
      <c r="K20" s="89">
        <f t="shared" si="0"/>
        <v>4.2787536009528289</v>
      </c>
      <c r="L20">
        <f t="shared" si="6"/>
        <v>2.2749999999999999</v>
      </c>
      <c r="M20">
        <f t="shared" si="7"/>
        <v>0.80433396359969778</v>
      </c>
      <c r="N20">
        <f t="shared" si="8"/>
        <v>163.93998153363225</v>
      </c>
      <c r="O20">
        <f t="shared" si="1"/>
        <v>1.1351515299377872</v>
      </c>
      <c r="P20" s="90">
        <f t="shared" si="2"/>
        <v>0.29143031358661003</v>
      </c>
    </row>
    <row r="21" spans="1:16" x14ac:dyDescent="0.25">
      <c r="A21">
        <v>20</v>
      </c>
      <c r="B21">
        <v>5</v>
      </c>
      <c r="C21">
        <f t="shared" si="3"/>
        <v>1.7677669529663687</v>
      </c>
      <c r="D21" s="66">
        <v>20000</v>
      </c>
      <c r="E21">
        <f t="shared" si="4"/>
        <v>125663.70614359173</v>
      </c>
      <c r="F21">
        <v>100</v>
      </c>
      <c r="G21">
        <v>0.1</v>
      </c>
      <c r="H21">
        <f t="shared" si="5"/>
        <v>9.9999999999999995E-8</v>
      </c>
      <c r="I21">
        <v>0.5</v>
      </c>
      <c r="J21" s="18">
        <v>4.3499999999999996</v>
      </c>
      <c r="K21" s="89">
        <f t="shared" si="0"/>
        <v>4.3010299956639813</v>
      </c>
      <c r="L21">
        <f t="shared" si="6"/>
        <v>2.1749999999999998</v>
      </c>
      <c r="M21">
        <f t="shared" si="7"/>
        <v>0.76897862454037036</v>
      </c>
      <c r="N21">
        <f t="shared" si="8"/>
        <v>164.72179016604977</v>
      </c>
      <c r="O21">
        <f t="shared" si="1"/>
        <v>1.10074780935955</v>
      </c>
      <c r="P21" s="90">
        <f t="shared" si="2"/>
        <v>0.30140344772724414</v>
      </c>
    </row>
    <row r="22" spans="1:16" x14ac:dyDescent="0.25">
      <c r="A22">
        <v>21</v>
      </c>
      <c r="B22">
        <v>5</v>
      </c>
      <c r="C22">
        <f t="shared" si="3"/>
        <v>1.7677669529663687</v>
      </c>
      <c r="D22" s="66">
        <v>22500</v>
      </c>
      <c r="E22">
        <f t="shared" si="4"/>
        <v>141371.6694115407</v>
      </c>
      <c r="F22">
        <v>100</v>
      </c>
      <c r="G22">
        <v>0.1</v>
      </c>
      <c r="H22">
        <f t="shared" si="5"/>
        <v>9.9999999999999995E-8</v>
      </c>
      <c r="I22">
        <v>0.5</v>
      </c>
      <c r="J22" s="18">
        <v>4</v>
      </c>
      <c r="K22" s="89">
        <f t="shared" si="0"/>
        <v>4.3521825181113627</v>
      </c>
      <c r="L22">
        <f t="shared" si="6"/>
        <v>2</v>
      </c>
      <c r="M22">
        <f t="shared" si="7"/>
        <v>0.70710678118654746</v>
      </c>
      <c r="N22">
        <f t="shared" si="8"/>
        <v>162.07546087666654</v>
      </c>
      <c r="O22">
        <f t="shared" si="1"/>
        <v>1.0208598240096867</v>
      </c>
      <c r="P22" s="90">
        <f t="shared" si="2"/>
        <v>0.30734194396131126</v>
      </c>
    </row>
    <row r="23" spans="1:16" x14ac:dyDescent="0.25">
      <c r="A23">
        <v>22</v>
      </c>
      <c r="B23">
        <v>5</v>
      </c>
      <c r="C23">
        <f t="shared" si="3"/>
        <v>1.7677669529663687</v>
      </c>
      <c r="D23" s="66">
        <v>25000</v>
      </c>
      <c r="E23">
        <f t="shared" si="4"/>
        <v>157079.63267948964</v>
      </c>
      <c r="F23">
        <v>100</v>
      </c>
      <c r="G23">
        <v>0.1</v>
      </c>
      <c r="H23">
        <f t="shared" si="5"/>
        <v>9.9999999999999995E-8</v>
      </c>
      <c r="I23">
        <v>0.5</v>
      </c>
      <c r="J23" s="18">
        <v>3.65</v>
      </c>
      <c r="K23" s="89">
        <f t="shared" si="0"/>
        <v>4.3979400086720375</v>
      </c>
      <c r="L23">
        <f t="shared" si="6"/>
        <v>1.825</v>
      </c>
      <c r="M23">
        <f t="shared" si="7"/>
        <v>0.64523493783272456</v>
      </c>
      <c r="N23">
        <f t="shared" si="8"/>
        <v>162.38295744375887</v>
      </c>
      <c r="O23">
        <f t="shared" si="1"/>
        <v>0.94934260007583826</v>
      </c>
      <c r="P23" s="90">
        <f t="shared" si="2"/>
        <v>0.32033500047171592</v>
      </c>
    </row>
    <row r="24" spans="1:16" x14ac:dyDescent="0.25">
      <c r="A24">
        <v>23</v>
      </c>
      <c r="B24">
        <v>5</v>
      </c>
      <c r="C24">
        <f t="shared" si="3"/>
        <v>1.7677669529663687</v>
      </c>
      <c r="D24" s="66">
        <v>27500</v>
      </c>
      <c r="E24">
        <f t="shared" si="4"/>
        <v>172787.59594743862</v>
      </c>
      <c r="F24">
        <v>100</v>
      </c>
      <c r="G24">
        <v>0.1</v>
      </c>
      <c r="H24">
        <f t="shared" si="5"/>
        <v>9.9999999999999995E-8</v>
      </c>
      <c r="I24">
        <v>0.5</v>
      </c>
      <c r="J24" s="18">
        <v>3.37</v>
      </c>
      <c r="K24" s="89">
        <f t="shared" si="0"/>
        <v>4.4393326938302629</v>
      </c>
      <c r="L24">
        <f t="shared" si="6"/>
        <v>1.6850000000000001</v>
      </c>
      <c r="M24">
        <f t="shared" si="7"/>
        <v>0.59573746314966625</v>
      </c>
      <c r="N24">
        <f t="shared" si="8"/>
        <v>161.68882491154446</v>
      </c>
      <c r="O24">
        <f t="shared" si="1"/>
        <v>0.88548373739218866</v>
      </c>
      <c r="P24" s="90">
        <f t="shared" si="2"/>
        <v>0.32721806398821662</v>
      </c>
    </row>
    <row r="25" spans="1:16" x14ac:dyDescent="0.25">
      <c r="A25">
        <v>24</v>
      </c>
      <c r="B25">
        <v>5</v>
      </c>
      <c r="C25">
        <f t="shared" si="3"/>
        <v>1.7677669529663687</v>
      </c>
      <c r="D25" s="66">
        <v>30000</v>
      </c>
      <c r="E25">
        <f t="shared" si="4"/>
        <v>188495.55921538759</v>
      </c>
      <c r="F25">
        <v>100</v>
      </c>
      <c r="G25">
        <v>0.1</v>
      </c>
      <c r="H25">
        <f t="shared" si="5"/>
        <v>9.9999999999999995E-8</v>
      </c>
      <c r="I25">
        <v>0.5</v>
      </c>
      <c r="J25" s="18">
        <v>3.1</v>
      </c>
      <c r="K25" s="89">
        <f t="shared" si="0"/>
        <v>4.4771212547196626</v>
      </c>
      <c r="L25">
        <f t="shared" si="6"/>
        <v>1.55</v>
      </c>
      <c r="M25">
        <f t="shared" si="7"/>
        <v>0.54800775541957436</v>
      </c>
      <c r="N25">
        <f t="shared" si="8"/>
        <v>162.7036801681738</v>
      </c>
      <c r="O25">
        <f t="shared" si="1"/>
        <v>0.82846361456011941</v>
      </c>
      <c r="P25" s="90">
        <f t="shared" si="2"/>
        <v>0.33852525833552238</v>
      </c>
    </row>
    <row r="26" spans="1:16" x14ac:dyDescent="0.25">
      <c r="A26">
        <v>25</v>
      </c>
      <c r="B26">
        <v>5</v>
      </c>
      <c r="C26">
        <f t="shared" si="3"/>
        <v>1.7677669529663687</v>
      </c>
      <c r="D26" s="66">
        <v>35000</v>
      </c>
      <c r="E26">
        <f t="shared" si="4"/>
        <v>219911.48575128551</v>
      </c>
      <c r="F26">
        <v>100</v>
      </c>
      <c r="G26">
        <v>0.1</v>
      </c>
      <c r="H26">
        <f t="shared" si="5"/>
        <v>9.9999999999999995E-8</v>
      </c>
      <c r="I26">
        <v>0.5</v>
      </c>
      <c r="J26" s="18">
        <v>2.7</v>
      </c>
      <c r="K26" s="89">
        <f t="shared" si="0"/>
        <v>4.5440680443502757</v>
      </c>
      <c r="L26">
        <f t="shared" si="6"/>
        <v>1.35</v>
      </c>
      <c r="M26">
        <f t="shared" si="7"/>
        <v>0.47729707730091958</v>
      </c>
      <c r="N26">
        <f t="shared" si="8"/>
        <v>162.16294156575702</v>
      </c>
      <c r="O26">
        <f t="shared" si="1"/>
        <v>0.73175115966588444</v>
      </c>
      <c r="P26" s="90">
        <f t="shared" si="2"/>
        <v>0.34773307702190442</v>
      </c>
    </row>
    <row r="27" spans="1:16" x14ac:dyDescent="0.25">
      <c r="A27">
        <v>26</v>
      </c>
      <c r="B27">
        <v>5</v>
      </c>
      <c r="C27">
        <f t="shared" si="3"/>
        <v>1.7677669529663687</v>
      </c>
      <c r="D27" s="66">
        <v>37500</v>
      </c>
      <c r="E27">
        <f t="shared" si="4"/>
        <v>235619.44901923448</v>
      </c>
      <c r="F27">
        <v>100</v>
      </c>
      <c r="G27">
        <v>0.1</v>
      </c>
      <c r="H27">
        <f t="shared" si="5"/>
        <v>9.9999999999999995E-8</v>
      </c>
      <c r="I27">
        <v>0.5</v>
      </c>
      <c r="J27" s="18">
        <v>2.5499999999999998</v>
      </c>
      <c r="K27" s="89">
        <f t="shared" si="0"/>
        <v>4.5740312677277188</v>
      </c>
      <c r="L27">
        <f t="shared" si="6"/>
        <v>1.2749999999999999</v>
      </c>
      <c r="M27">
        <f t="shared" si="7"/>
        <v>0.45078057300642399</v>
      </c>
      <c r="N27">
        <f t="shared" si="8"/>
        <v>160.93432498336827</v>
      </c>
      <c r="O27">
        <f t="shared" si="1"/>
        <v>0.69063659139499067</v>
      </c>
      <c r="P27" s="90">
        <f t="shared" si="2"/>
        <v>0.34729700305060668</v>
      </c>
    </row>
    <row r="28" spans="1:16" x14ac:dyDescent="0.25">
      <c r="A28">
        <v>27</v>
      </c>
      <c r="B28">
        <v>5</v>
      </c>
      <c r="C28">
        <f t="shared" si="3"/>
        <v>1.7677669529663687</v>
      </c>
      <c r="D28" s="66">
        <v>45000</v>
      </c>
      <c r="E28">
        <f t="shared" si="4"/>
        <v>282743.3388230814</v>
      </c>
      <c r="F28">
        <v>100</v>
      </c>
      <c r="G28">
        <v>0.1</v>
      </c>
      <c r="H28">
        <f t="shared" si="5"/>
        <v>9.9999999999999995E-8</v>
      </c>
      <c r="I28">
        <v>0.2</v>
      </c>
      <c r="J28" s="18">
        <v>5.45</v>
      </c>
      <c r="K28" s="89">
        <f t="shared" si="0"/>
        <v>4.653212513775344</v>
      </c>
      <c r="L28">
        <f t="shared" si="6"/>
        <v>1.0900000000000001</v>
      </c>
      <c r="M28">
        <f t="shared" si="7"/>
        <v>0.3853731957466684</v>
      </c>
      <c r="N28">
        <f t="shared" si="8"/>
        <v>158.33544425507975</v>
      </c>
      <c r="O28">
        <f t="shared" si="1"/>
        <v>0.58943973016337003</v>
      </c>
      <c r="P28" s="90">
        <f t="shared" si="2"/>
        <v>0.3462042410343501</v>
      </c>
    </row>
    <row r="29" spans="1:16" x14ac:dyDescent="0.25">
      <c r="A29">
        <v>28</v>
      </c>
      <c r="B29">
        <v>5</v>
      </c>
      <c r="C29">
        <f t="shared" si="3"/>
        <v>1.7677669529663687</v>
      </c>
      <c r="D29" s="66">
        <v>50000</v>
      </c>
      <c r="E29">
        <f t="shared" si="4"/>
        <v>314159.26535897929</v>
      </c>
      <c r="F29">
        <v>100</v>
      </c>
      <c r="G29">
        <v>0.1</v>
      </c>
      <c r="H29">
        <f t="shared" si="5"/>
        <v>9.9999999999999995E-8</v>
      </c>
      <c r="I29">
        <v>0.2</v>
      </c>
      <c r="J29" s="18">
        <v>4.95</v>
      </c>
      <c r="K29" s="89">
        <f t="shared" si="0"/>
        <v>4.6989700043360187</v>
      </c>
      <c r="L29">
        <f t="shared" si="6"/>
        <v>0.9900000000000001</v>
      </c>
      <c r="M29">
        <f t="shared" si="7"/>
        <v>0.35001785668734103</v>
      </c>
      <c r="N29">
        <f t="shared" si="8"/>
        <v>157.57979465725265</v>
      </c>
      <c r="O29">
        <f t="shared" si="1"/>
        <v>0.5361892982845915</v>
      </c>
      <c r="P29" s="90">
        <f t="shared" si="2"/>
        <v>0.34721215472382821</v>
      </c>
    </row>
    <row r="30" spans="1:16" x14ac:dyDescent="0.25">
      <c r="A30">
        <v>29</v>
      </c>
      <c r="B30">
        <v>5</v>
      </c>
      <c r="C30">
        <f t="shared" si="3"/>
        <v>1.7677669529663687</v>
      </c>
      <c r="D30" s="66">
        <v>65000</v>
      </c>
      <c r="E30">
        <f t="shared" si="4"/>
        <v>408407.04496667313</v>
      </c>
      <c r="F30">
        <v>100</v>
      </c>
      <c r="G30">
        <v>0.1</v>
      </c>
      <c r="H30">
        <f t="shared" si="5"/>
        <v>9.9999999999999995E-8</v>
      </c>
      <c r="I30">
        <v>0.2</v>
      </c>
      <c r="J30" s="18">
        <v>3.87</v>
      </c>
      <c r="K30" s="89">
        <f t="shared" si="0"/>
        <v>4.8129133566428557</v>
      </c>
      <c r="L30">
        <f t="shared" si="6"/>
        <v>0.77400000000000002</v>
      </c>
      <c r="M30">
        <f t="shared" si="7"/>
        <v>0.27365032431919389</v>
      </c>
      <c r="N30">
        <f t="shared" si="8"/>
        <v>156.26760297030515</v>
      </c>
      <c r="O30">
        <f t="shared" si="1"/>
        <v>0.42042487841705145</v>
      </c>
      <c r="P30" s="90">
        <f t="shared" si="2"/>
        <v>0.34911005897291525</v>
      </c>
    </row>
    <row r="31" spans="1:16" x14ac:dyDescent="0.25">
      <c r="A31">
        <v>30</v>
      </c>
      <c r="B31">
        <v>5</v>
      </c>
      <c r="C31">
        <f t="shared" si="3"/>
        <v>1.7677669529663687</v>
      </c>
      <c r="D31" s="66">
        <v>70000</v>
      </c>
      <c r="E31">
        <f t="shared" si="4"/>
        <v>439822.97150257102</v>
      </c>
      <c r="F31">
        <v>100</v>
      </c>
      <c r="G31">
        <v>0.1</v>
      </c>
      <c r="H31">
        <f t="shared" si="5"/>
        <v>9.9999999999999995E-8</v>
      </c>
      <c r="I31">
        <v>0.2</v>
      </c>
      <c r="J31" s="18">
        <v>3.6</v>
      </c>
      <c r="K31" s="89">
        <f t="shared" si="0"/>
        <v>4.8450980400142569</v>
      </c>
      <c r="L31">
        <f t="shared" si="6"/>
        <v>0.72000000000000008</v>
      </c>
      <c r="M31">
        <f t="shared" si="7"/>
        <v>0.2545584412271571</v>
      </c>
      <c r="N31">
        <f t="shared" si="8"/>
        <v>156.24621088433653</v>
      </c>
      <c r="O31">
        <f t="shared" si="1"/>
        <v>0.39192440251830063</v>
      </c>
      <c r="P31" s="90">
        <f t="shared" si="2"/>
        <v>0.35049096307477134</v>
      </c>
    </row>
    <row r="32" spans="1:16" x14ac:dyDescent="0.25">
      <c r="A32">
        <v>31</v>
      </c>
      <c r="B32">
        <v>5</v>
      </c>
      <c r="C32">
        <f t="shared" si="3"/>
        <v>1.7677669529663687</v>
      </c>
      <c r="D32" s="66">
        <v>75000</v>
      </c>
      <c r="E32">
        <f t="shared" si="4"/>
        <v>471238.89803846896</v>
      </c>
      <c r="F32">
        <v>100</v>
      </c>
      <c r="G32">
        <v>0.1</v>
      </c>
      <c r="H32">
        <f t="shared" si="5"/>
        <v>9.9999999999999995E-8</v>
      </c>
      <c r="I32">
        <v>0.2</v>
      </c>
      <c r="J32" s="18">
        <v>3.35</v>
      </c>
      <c r="K32" s="89">
        <f t="shared" si="0"/>
        <v>4.8750612633917001</v>
      </c>
      <c r="L32">
        <f t="shared" si="6"/>
        <v>0.67</v>
      </c>
      <c r="M32">
        <f t="shared" si="7"/>
        <v>0.23688077169749341</v>
      </c>
      <c r="N32">
        <f t="shared" si="8"/>
        <v>156.9349029549042</v>
      </c>
      <c r="O32">
        <f t="shared" si="1"/>
        <v>0.36696036565621981</v>
      </c>
      <c r="P32" s="90">
        <f t="shared" si="2"/>
        <v>0.35447859260252951</v>
      </c>
    </row>
    <row r="33" spans="1:16" x14ac:dyDescent="0.25">
      <c r="A33">
        <v>32</v>
      </c>
      <c r="B33">
        <v>5</v>
      </c>
      <c r="C33">
        <f t="shared" si="3"/>
        <v>1.7677669529663687</v>
      </c>
      <c r="D33" s="66">
        <v>85000</v>
      </c>
      <c r="E33">
        <f t="shared" si="4"/>
        <v>534070.7511102648</v>
      </c>
      <c r="F33">
        <v>100</v>
      </c>
      <c r="G33">
        <v>0.1</v>
      </c>
      <c r="H33">
        <f t="shared" si="5"/>
        <v>9.9999999999999995E-8</v>
      </c>
      <c r="I33">
        <v>0.2</v>
      </c>
      <c r="J33" s="18">
        <v>3</v>
      </c>
      <c r="K33" s="89">
        <f t="shared" si="0"/>
        <v>4.9294189257142929</v>
      </c>
      <c r="L33">
        <f t="shared" si="6"/>
        <v>0.60000000000000009</v>
      </c>
      <c r="M33">
        <f t="shared" si="7"/>
        <v>0.21213203435596428</v>
      </c>
      <c r="N33">
        <f t="shared" si="8"/>
        <v>154.90673748366024</v>
      </c>
      <c r="O33">
        <f t="shared" si="1"/>
        <v>0.32534460904803586</v>
      </c>
      <c r="P33" s="90">
        <f t="shared" si="2"/>
        <v>0.34797741085470446</v>
      </c>
    </row>
    <row r="34" spans="1:16" x14ac:dyDescent="0.25">
      <c r="A34">
        <v>33</v>
      </c>
      <c r="B34">
        <v>5</v>
      </c>
      <c r="C34">
        <f t="shared" si="3"/>
        <v>1.7677669529663687</v>
      </c>
      <c r="D34" s="66">
        <v>100000</v>
      </c>
      <c r="E34">
        <f t="shared" si="4"/>
        <v>628318.53071795858</v>
      </c>
      <c r="F34">
        <v>100</v>
      </c>
      <c r="G34">
        <v>0.1</v>
      </c>
      <c r="H34">
        <f t="shared" si="5"/>
        <v>9.9999999999999995E-8</v>
      </c>
      <c r="I34">
        <v>0.1</v>
      </c>
      <c r="J34" s="18">
        <v>5.07</v>
      </c>
      <c r="K34" s="89">
        <f t="shared" si="0"/>
        <v>5</v>
      </c>
      <c r="L34">
        <f t="shared" si="6"/>
        <v>0.50700000000000001</v>
      </c>
      <c r="M34">
        <f t="shared" si="7"/>
        <v>0.17925156903078979</v>
      </c>
      <c r="N34">
        <f t="shared" si="8"/>
        <v>156.14853710383451</v>
      </c>
      <c r="O34">
        <f t="shared" si="1"/>
        <v>0.27785182107475048</v>
      </c>
      <c r="P34" s="90">
        <f t="shared" si="2"/>
        <v>0.35486631565907306</v>
      </c>
    </row>
    <row r="35" spans="1:16" x14ac:dyDescent="0.25">
      <c r="A35">
        <v>34</v>
      </c>
      <c r="B35">
        <v>5</v>
      </c>
      <c r="C35">
        <f t="shared" si="3"/>
        <v>1.7677669529663687</v>
      </c>
      <c r="D35" s="66">
        <v>125000</v>
      </c>
      <c r="E35">
        <f t="shared" si="4"/>
        <v>785398.16339744825</v>
      </c>
      <c r="F35">
        <v>100</v>
      </c>
      <c r="G35">
        <v>0.1</v>
      </c>
      <c r="H35">
        <f t="shared" si="5"/>
        <v>9.9999999999999995E-8</v>
      </c>
      <c r="I35">
        <v>0.1</v>
      </c>
      <c r="J35" s="18">
        <v>4</v>
      </c>
      <c r="K35" s="89">
        <f t="shared" si="0"/>
        <v>5.0969100130080562</v>
      </c>
      <c r="L35">
        <f t="shared" si="6"/>
        <v>0.4</v>
      </c>
      <c r="M35">
        <f t="shared" si="7"/>
        <v>0.1414213562373095</v>
      </c>
      <c r="N35">
        <f t="shared" si="8"/>
        <v>158.64482978262069</v>
      </c>
      <c r="O35">
        <f t="shared" si="1"/>
        <v>0.22327654357627688</v>
      </c>
      <c r="P35" s="90">
        <f t="shared" si="2"/>
        <v>0.36660898645183293</v>
      </c>
    </row>
    <row r="36" spans="1:16" x14ac:dyDescent="0.25">
      <c r="A36">
        <v>35</v>
      </c>
      <c r="B36">
        <v>5</v>
      </c>
      <c r="C36">
        <f t="shared" si="3"/>
        <v>1.7677669529663687</v>
      </c>
      <c r="D36" s="66">
        <v>150000</v>
      </c>
      <c r="E36">
        <f t="shared" si="4"/>
        <v>942477.79607693793</v>
      </c>
      <c r="F36">
        <v>100</v>
      </c>
      <c r="G36">
        <v>0.1</v>
      </c>
      <c r="H36">
        <f t="shared" si="5"/>
        <v>9.9999999999999995E-8</v>
      </c>
      <c r="I36">
        <v>0.1</v>
      </c>
      <c r="J36" s="18">
        <v>3.4</v>
      </c>
      <c r="K36" s="89">
        <f t="shared" si="0"/>
        <v>5.1760912590556813</v>
      </c>
      <c r="L36">
        <f t="shared" si="6"/>
        <v>0.34</v>
      </c>
      <c r="M36">
        <f t="shared" si="7"/>
        <v>0.12020815280171308</v>
      </c>
      <c r="N36">
        <f t="shared" si="8"/>
        <v>155.67308873353173</v>
      </c>
      <c r="O36">
        <f t="shared" si="1"/>
        <v>0.18651893101716577</v>
      </c>
      <c r="P36" s="90">
        <f t="shared" si="2"/>
        <v>0.355517683131853</v>
      </c>
    </row>
    <row r="37" spans="1:16" x14ac:dyDescent="0.25">
      <c r="A37">
        <v>36</v>
      </c>
      <c r="B37">
        <v>5</v>
      </c>
      <c r="C37">
        <f t="shared" si="3"/>
        <v>1.7677669529663687</v>
      </c>
      <c r="D37" s="66">
        <v>200000</v>
      </c>
      <c r="E37">
        <f t="shared" si="4"/>
        <v>1256637.0614359172</v>
      </c>
      <c r="F37">
        <v>100</v>
      </c>
      <c r="G37">
        <v>0.1</v>
      </c>
      <c r="H37">
        <f t="shared" si="5"/>
        <v>9.9999999999999995E-8</v>
      </c>
      <c r="I37">
        <v>0.05</v>
      </c>
      <c r="J37" s="18">
        <v>4.9000000000000004</v>
      </c>
      <c r="K37" s="89">
        <f t="shared" si="0"/>
        <v>5.3010299956639813</v>
      </c>
      <c r="L37">
        <f t="shared" si="6"/>
        <v>0.24500000000000002</v>
      </c>
      <c r="M37">
        <f t="shared" si="7"/>
        <v>8.662058069535207E-2</v>
      </c>
      <c r="N37">
        <f t="shared" si="8"/>
        <v>162.20792118138047</v>
      </c>
      <c r="O37">
        <f t="shared" si="1"/>
        <v>0.14023111316820114</v>
      </c>
      <c r="P37" s="90">
        <f t="shared" si="2"/>
        <v>0.3823012686816909</v>
      </c>
    </row>
    <row r="38" spans="1:16" x14ac:dyDescent="0.25">
      <c r="D38" s="66"/>
      <c r="E38" s="66"/>
      <c r="N38">
        <f>AVERAGE(N6:N37)</f>
        <v>159.52278187064644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02AB-D665-41A4-BF81-FE203A8B5656}">
  <dimension ref="A2:X39"/>
  <sheetViews>
    <sheetView zoomScale="85" zoomScaleNormal="85" workbookViewId="0"/>
  </sheetViews>
  <sheetFormatPr defaultRowHeight="14.4" x14ac:dyDescent="0.25"/>
  <cols>
    <col min="1" max="1" width="3.5546875" customWidth="1"/>
    <col min="2" max="2" width="15" hidden="1" customWidth="1"/>
    <col min="3" max="3" width="16.109375" hidden="1" customWidth="1"/>
    <col min="4" max="4" width="15" customWidth="1"/>
    <col min="5" max="5" width="17.109375" hidden="1" customWidth="1"/>
    <col min="6" max="7" width="11.6640625" hidden="1" customWidth="1"/>
    <col min="8" max="8" width="23.33203125" hidden="1" customWidth="1"/>
    <col min="9" max="9" width="13.44140625" hidden="1" customWidth="1"/>
    <col min="10" max="10" width="8.88671875" hidden="1" customWidth="1"/>
    <col min="11" max="11" width="7.6640625" customWidth="1"/>
    <col min="12" max="12" width="14.5546875" customWidth="1"/>
    <col min="13" max="13" width="15.44140625" customWidth="1"/>
    <col min="14" max="14" width="17.21875" style="38" customWidth="1"/>
    <col min="15" max="15" width="9.33203125" customWidth="1"/>
    <col min="17" max="17" width="14.5546875" bestFit="1" customWidth="1"/>
    <col min="18" max="18" width="14" customWidth="1"/>
    <col min="21" max="21" width="11.88671875" bestFit="1" customWidth="1"/>
    <col min="23" max="23" width="23.77734375" bestFit="1" customWidth="1"/>
  </cols>
  <sheetData>
    <row r="2" spans="1:24" x14ac:dyDescent="0.25">
      <c r="Q2" t="s">
        <v>95</v>
      </c>
      <c r="R2" s="92">
        <v>100</v>
      </c>
      <c r="T2" t="s">
        <v>96</v>
      </c>
      <c r="U2" s="18">
        <v>0.1</v>
      </c>
      <c r="W2" t="s">
        <v>97</v>
      </c>
      <c r="X2" s="89">
        <v>5</v>
      </c>
    </row>
    <row r="3" spans="1:24" x14ac:dyDescent="0.25">
      <c r="Q3" t="s">
        <v>98</v>
      </c>
      <c r="R3">
        <v>161.1</v>
      </c>
      <c r="T3" t="s">
        <v>99</v>
      </c>
      <c r="U3">
        <f>U2*10^(-6)</f>
        <v>9.9999999999999995E-8</v>
      </c>
      <c r="W3" t="s">
        <v>100</v>
      </c>
      <c r="X3" s="89">
        <f>X2/2/SQRT(2)</f>
        <v>1.7677669529663687</v>
      </c>
    </row>
    <row r="5" spans="1:24" ht="46.2" customHeight="1" x14ac:dyDescent="0.25">
      <c r="A5" s="93" t="s">
        <v>8</v>
      </c>
      <c r="B5" s="94" t="s">
        <v>80</v>
      </c>
      <c r="C5" s="94" t="s">
        <v>81</v>
      </c>
      <c r="D5" s="93" t="s">
        <v>101</v>
      </c>
      <c r="E5" s="95" t="s">
        <v>83</v>
      </c>
      <c r="F5" s="94" t="s">
        <v>84</v>
      </c>
      <c r="G5" s="94" t="s">
        <v>85</v>
      </c>
      <c r="H5" s="94" t="s">
        <v>86</v>
      </c>
      <c r="I5" s="94" t="s">
        <v>87</v>
      </c>
      <c r="J5" s="94" t="s">
        <v>88</v>
      </c>
      <c r="K5" s="93" t="s">
        <v>89</v>
      </c>
      <c r="L5" s="93" t="s">
        <v>102</v>
      </c>
      <c r="M5" s="93" t="s">
        <v>103</v>
      </c>
      <c r="N5" s="93" t="s">
        <v>104</v>
      </c>
      <c r="O5" s="94" t="s">
        <v>105</v>
      </c>
      <c r="Q5" t="s">
        <v>94</v>
      </c>
      <c r="R5" s="91">
        <f>AVERAGE(O6:O38)</f>
        <v>1.2386487542105931E-2</v>
      </c>
    </row>
    <row r="6" spans="1:24" x14ac:dyDescent="0.25">
      <c r="A6">
        <v>1</v>
      </c>
      <c r="B6" s="89">
        <v>5</v>
      </c>
      <c r="C6">
        <f t="shared" ref="C6:C38" si="0">B6/2/SQRT(2)</f>
        <v>1.7677669529663687</v>
      </c>
      <c r="D6" s="66">
        <v>1000</v>
      </c>
      <c r="E6">
        <f t="shared" ref="E6:E38" si="1">2*PI()*D6</f>
        <v>6283.1853071795858</v>
      </c>
      <c r="F6">
        <v>161.1</v>
      </c>
      <c r="G6">
        <v>0.1</v>
      </c>
      <c r="H6">
        <f t="shared" ref="H6:H38" si="2">G6*10^(-6)</f>
        <v>9.9999999999999995E-8</v>
      </c>
      <c r="I6">
        <v>1</v>
      </c>
      <c r="J6" s="18">
        <v>5</v>
      </c>
      <c r="K6" s="89">
        <f t="shared" ref="K6:K38" si="3">LOG10(D6)</f>
        <v>3</v>
      </c>
      <c r="L6" s="18">
        <f t="shared" ref="L6:L38" si="4">I6*J6</f>
        <v>5</v>
      </c>
      <c r="M6" s="89">
        <f t="shared" ref="M6:M38" si="5">L6/2/SQRT(2)</f>
        <v>1.7677669529663687</v>
      </c>
      <c r="N6" s="96">
        <f t="shared" ref="N6:N38" si="6">C6/SQRT((H6*F6*E6)^2+1)</f>
        <v>1.7587797594200716</v>
      </c>
      <c r="O6" s="97">
        <f t="shared" ref="O6:O38" si="7">ABS((N6-M6)/N6)</f>
        <v>5.1099027596613038E-3</v>
      </c>
    </row>
    <row r="7" spans="1:24" x14ac:dyDescent="0.25">
      <c r="A7">
        <v>2</v>
      </c>
      <c r="B7" s="89">
        <v>5</v>
      </c>
      <c r="C7">
        <f t="shared" si="0"/>
        <v>1.7677669529663687</v>
      </c>
      <c r="D7" s="66">
        <v>2000</v>
      </c>
      <c r="E7">
        <f t="shared" si="1"/>
        <v>12566.370614359172</v>
      </c>
      <c r="F7">
        <v>161.1</v>
      </c>
      <c r="G7">
        <v>0.1</v>
      </c>
      <c r="H7">
        <f t="shared" si="2"/>
        <v>9.9999999999999995E-8</v>
      </c>
      <c r="I7">
        <v>1</v>
      </c>
      <c r="J7" s="18">
        <v>4.93</v>
      </c>
      <c r="K7" s="89">
        <f t="shared" si="3"/>
        <v>3.3010299956639813</v>
      </c>
      <c r="L7" s="18">
        <f t="shared" si="4"/>
        <v>4.93</v>
      </c>
      <c r="M7" s="89">
        <f t="shared" si="5"/>
        <v>1.7430182156248395</v>
      </c>
      <c r="N7" s="96">
        <f t="shared" si="6"/>
        <v>1.7326189226340145</v>
      </c>
      <c r="O7" s="97">
        <f t="shared" si="7"/>
        <v>6.0020659216946867E-3</v>
      </c>
    </row>
    <row r="8" spans="1:24" x14ac:dyDescent="0.25">
      <c r="A8">
        <v>3</v>
      </c>
      <c r="B8" s="89">
        <v>5</v>
      </c>
      <c r="C8">
        <f t="shared" si="0"/>
        <v>1.7677669529663687</v>
      </c>
      <c r="D8" s="66">
        <v>5000</v>
      </c>
      <c r="E8">
        <f t="shared" si="1"/>
        <v>31415.926535897932</v>
      </c>
      <c r="F8">
        <v>161.1</v>
      </c>
      <c r="G8">
        <v>0.1</v>
      </c>
      <c r="H8">
        <f t="shared" si="2"/>
        <v>9.9999999999999995E-8</v>
      </c>
      <c r="I8">
        <v>1</v>
      </c>
      <c r="J8" s="18">
        <v>4.47</v>
      </c>
      <c r="K8" s="89">
        <f t="shared" si="3"/>
        <v>3.6989700043360187</v>
      </c>
      <c r="L8" s="18">
        <f t="shared" si="4"/>
        <v>4.47</v>
      </c>
      <c r="M8" s="89">
        <f t="shared" si="5"/>
        <v>1.5803836559519335</v>
      </c>
      <c r="N8" s="96">
        <f t="shared" si="6"/>
        <v>1.5772648311965745</v>
      </c>
      <c r="O8" s="97">
        <f t="shared" si="7"/>
        <v>1.9773627698228785E-3</v>
      </c>
    </row>
    <row r="9" spans="1:24" x14ac:dyDescent="0.25">
      <c r="A9">
        <v>4</v>
      </c>
      <c r="B9" s="89">
        <v>5</v>
      </c>
      <c r="C9">
        <f t="shared" si="0"/>
        <v>1.7677669529663687</v>
      </c>
      <c r="D9" s="66">
        <v>6000</v>
      </c>
      <c r="E9">
        <f t="shared" si="1"/>
        <v>37699.111843077517</v>
      </c>
      <c r="F9">
        <v>161.1</v>
      </c>
      <c r="G9">
        <v>0.1</v>
      </c>
      <c r="H9">
        <f t="shared" si="2"/>
        <v>9.9999999999999995E-8</v>
      </c>
      <c r="I9">
        <v>1</v>
      </c>
      <c r="J9" s="18">
        <v>4.32</v>
      </c>
      <c r="K9" s="89">
        <f t="shared" si="3"/>
        <v>3.7781512503836434</v>
      </c>
      <c r="L9" s="18">
        <f t="shared" si="4"/>
        <v>4.32</v>
      </c>
      <c r="M9" s="89">
        <f t="shared" si="5"/>
        <v>1.5273506473629426</v>
      </c>
      <c r="N9" s="96">
        <f t="shared" si="6"/>
        <v>1.5109378650258671</v>
      </c>
      <c r="O9" s="97">
        <f t="shared" si="7"/>
        <v>1.0862645458153537E-2</v>
      </c>
    </row>
    <row r="10" spans="1:24" x14ac:dyDescent="0.25">
      <c r="A10">
        <v>5</v>
      </c>
      <c r="B10" s="89">
        <v>5</v>
      </c>
      <c r="C10">
        <f t="shared" si="0"/>
        <v>1.7677669529663687</v>
      </c>
      <c r="D10" s="66">
        <v>7500</v>
      </c>
      <c r="E10">
        <f t="shared" si="1"/>
        <v>47123.889803846898</v>
      </c>
      <c r="F10">
        <v>161.1</v>
      </c>
      <c r="G10">
        <v>0.1</v>
      </c>
      <c r="H10">
        <f t="shared" si="2"/>
        <v>9.9999999999999995E-8</v>
      </c>
      <c r="I10">
        <v>1</v>
      </c>
      <c r="J10" s="18">
        <v>4</v>
      </c>
      <c r="K10" s="89">
        <f t="shared" si="3"/>
        <v>3.8750612633917001</v>
      </c>
      <c r="L10" s="18">
        <f t="shared" si="4"/>
        <v>4</v>
      </c>
      <c r="M10" s="89">
        <f t="shared" si="5"/>
        <v>1.4142135623730949</v>
      </c>
      <c r="N10" s="96">
        <f t="shared" si="6"/>
        <v>1.4079948077272169</v>
      </c>
      <c r="O10" s="97">
        <f t="shared" si="7"/>
        <v>4.416745439506535E-3</v>
      </c>
    </row>
    <row r="11" spans="1:24" x14ac:dyDescent="0.25">
      <c r="A11">
        <v>6</v>
      </c>
      <c r="B11" s="89">
        <v>5</v>
      </c>
      <c r="C11">
        <f t="shared" si="0"/>
        <v>1.7677669529663687</v>
      </c>
      <c r="D11" s="66">
        <v>9000</v>
      </c>
      <c r="E11">
        <f t="shared" si="1"/>
        <v>56548.667764616279</v>
      </c>
      <c r="F11">
        <v>161.1</v>
      </c>
      <c r="G11">
        <v>0.1</v>
      </c>
      <c r="H11">
        <f t="shared" si="2"/>
        <v>9.9999999999999995E-8</v>
      </c>
      <c r="I11">
        <v>1</v>
      </c>
      <c r="J11" s="18">
        <v>3.7</v>
      </c>
      <c r="K11" s="89">
        <f t="shared" si="3"/>
        <v>3.9542425094393248</v>
      </c>
      <c r="L11" s="18">
        <f t="shared" si="4"/>
        <v>3.7</v>
      </c>
      <c r="M11" s="89">
        <f t="shared" si="5"/>
        <v>1.308147545195113</v>
      </c>
      <c r="N11" s="96">
        <f t="shared" si="6"/>
        <v>1.3067997669470928</v>
      </c>
      <c r="O11" s="97">
        <f t="shared" si="7"/>
        <v>1.0313578882623136E-3</v>
      </c>
    </row>
    <row r="12" spans="1:24" x14ac:dyDescent="0.25">
      <c r="A12">
        <v>7</v>
      </c>
      <c r="B12" s="89">
        <v>5</v>
      </c>
      <c r="C12">
        <f t="shared" si="0"/>
        <v>1.7677669529663687</v>
      </c>
      <c r="D12" s="66">
        <v>10000</v>
      </c>
      <c r="E12">
        <f t="shared" si="1"/>
        <v>62831.853071795864</v>
      </c>
      <c r="F12">
        <v>161.1</v>
      </c>
      <c r="G12">
        <v>0.1</v>
      </c>
      <c r="H12">
        <f t="shared" si="2"/>
        <v>9.9999999999999995E-8</v>
      </c>
      <c r="I12">
        <v>1</v>
      </c>
      <c r="J12" s="18">
        <v>3.5</v>
      </c>
      <c r="K12" s="89">
        <f t="shared" si="3"/>
        <v>4</v>
      </c>
      <c r="L12" s="18">
        <f t="shared" si="4"/>
        <v>3.5</v>
      </c>
      <c r="M12" s="89">
        <f t="shared" si="5"/>
        <v>1.2374368670764582</v>
      </c>
      <c r="N12" s="96">
        <f t="shared" si="6"/>
        <v>1.2423852561419038</v>
      </c>
      <c r="O12" s="97">
        <f t="shared" si="7"/>
        <v>3.9829747181742087E-3</v>
      </c>
    </row>
    <row r="13" spans="1:24" x14ac:dyDescent="0.25">
      <c r="A13">
        <v>8</v>
      </c>
      <c r="B13" s="89">
        <v>5</v>
      </c>
      <c r="C13">
        <f t="shared" si="0"/>
        <v>1.7677669529663687</v>
      </c>
      <c r="D13" s="66">
        <v>11000</v>
      </c>
      <c r="E13">
        <f t="shared" si="1"/>
        <v>69115.038378975441</v>
      </c>
      <c r="F13">
        <v>161.1</v>
      </c>
      <c r="G13">
        <v>0.1</v>
      </c>
      <c r="H13">
        <f t="shared" si="2"/>
        <v>9.9999999999999995E-8</v>
      </c>
      <c r="I13">
        <v>1</v>
      </c>
      <c r="J13" s="18">
        <v>3.33</v>
      </c>
      <c r="K13" s="89">
        <f t="shared" si="3"/>
        <v>4.0413926851582254</v>
      </c>
      <c r="L13" s="18">
        <f t="shared" si="4"/>
        <v>3.33</v>
      </c>
      <c r="M13" s="89">
        <f t="shared" si="5"/>
        <v>1.1773327906756015</v>
      </c>
      <c r="N13" s="96">
        <f t="shared" si="6"/>
        <v>1.1812033365871317</v>
      </c>
      <c r="O13" s="97">
        <f t="shared" si="7"/>
        <v>3.276782067610365E-3</v>
      </c>
    </row>
    <row r="14" spans="1:24" x14ac:dyDescent="0.25">
      <c r="A14">
        <v>9</v>
      </c>
      <c r="B14" s="89">
        <v>5</v>
      </c>
      <c r="C14">
        <f t="shared" si="0"/>
        <v>1.7677669529663687</v>
      </c>
      <c r="D14" s="66">
        <v>12000</v>
      </c>
      <c r="E14">
        <f t="shared" si="1"/>
        <v>75398.223686155034</v>
      </c>
      <c r="F14">
        <v>161.1</v>
      </c>
      <c r="G14">
        <v>0.1</v>
      </c>
      <c r="H14">
        <f t="shared" si="2"/>
        <v>9.9999999999999995E-8</v>
      </c>
      <c r="I14">
        <v>1</v>
      </c>
      <c r="J14" s="18">
        <v>3.15</v>
      </c>
      <c r="K14" s="89">
        <f t="shared" si="3"/>
        <v>4.0791812460476251</v>
      </c>
      <c r="L14" s="18">
        <f t="shared" si="4"/>
        <v>3.15</v>
      </c>
      <c r="M14" s="89">
        <f t="shared" si="5"/>
        <v>1.1136931803688122</v>
      </c>
      <c r="N14" s="96">
        <f t="shared" si="6"/>
        <v>1.1235729250896593</v>
      </c>
      <c r="O14" s="97">
        <f t="shared" si="7"/>
        <v>8.7931495145798354E-3</v>
      </c>
    </row>
    <row r="15" spans="1:24" x14ac:dyDescent="0.25">
      <c r="A15">
        <v>10</v>
      </c>
      <c r="B15" s="89">
        <v>5</v>
      </c>
      <c r="C15">
        <f t="shared" si="0"/>
        <v>1.7677669529663687</v>
      </c>
      <c r="D15" s="66">
        <v>13000</v>
      </c>
      <c r="E15">
        <f t="shared" si="1"/>
        <v>81681.408993334626</v>
      </c>
      <c r="F15">
        <v>161.1</v>
      </c>
      <c r="G15">
        <v>0.1</v>
      </c>
      <c r="H15">
        <f t="shared" si="2"/>
        <v>9.9999999999999995E-8</v>
      </c>
      <c r="I15">
        <v>1</v>
      </c>
      <c r="J15" s="18">
        <v>3</v>
      </c>
      <c r="K15" s="89">
        <f t="shared" si="3"/>
        <v>4.1139433523068369</v>
      </c>
      <c r="L15" s="18">
        <f t="shared" si="4"/>
        <v>3</v>
      </c>
      <c r="M15" s="89">
        <f t="shared" si="5"/>
        <v>1.0606601717798212</v>
      </c>
      <c r="N15" s="96">
        <f t="shared" si="6"/>
        <v>1.0695956938334819</v>
      </c>
      <c r="O15" s="97">
        <f t="shared" si="7"/>
        <v>8.3541118435465321E-3</v>
      </c>
    </row>
    <row r="16" spans="1:24" x14ac:dyDescent="0.25">
      <c r="A16">
        <v>11</v>
      </c>
      <c r="B16" s="89">
        <v>5</v>
      </c>
      <c r="C16">
        <f t="shared" si="0"/>
        <v>1.7677669529663687</v>
      </c>
      <c r="D16" s="66">
        <v>14000</v>
      </c>
      <c r="E16">
        <f t="shared" si="1"/>
        <v>87964.594300514203</v>
      </c>
      <c r="F16">
        <v>161.1</v>
      </c>
      <c r="G16">
        <v>0.1</v>
      </c>
      <c r="H16">
        <f t="shared" si="2"/>
        <v>9.9999999999999995E-8</v>
      </c>
      <c r="I16">
        <v>1</v>
      </c>
      <c r="J16" s="18">
        <v>2.9</v>
      </c>
      <c r="K16" s="89">
        <f t="shared" si="3"/>
        <v>4.1461280356782382</v>
      </c>
      <c r="L16" s="18">
        <f t="shared" si="4"/>
        <v>2.9</v>
      </c>
      <c r="M16" s="89">
        <f t="shared" si="5"/>
        <v>1.0253048327204939</v>
      </c>
      <c r="N16" s="96">
        <f t="shared" si="6"/>
        <v>1.0192287886105291</v>
      </c>
      <c r="O16" s="97">
        <f t="shared" si="7"/>
        <v>5.9614133527840915E-3</v>
      </c>
    </row>
    <row r="17" spans="1:15" x14ac:dyDescent="0.25">
      <c r="A17">
        <v>12</v>
      </c>
      <c r="B17" s="89">
        <v>5</v>
      </c>
      <c r="C17">
        <f t="shared" si="0"/>
        <v>1.7677669529663687</v>
      </c>
      <c r="D17" s="66">
        <v>15000</v>
      </c>
      <c r="E17">
        <f t="shared" si="1"/>
        <v>94247.779607693796</v>
      </c>
      <c r="F17">
        <v>161.1</v>
      </c>
      <c r="G17">
        <v>0.1</v>
      </c>
      <c r="H17">
        <f t="shared" si="2"/>
        <v>9.9999999999999995E-8</v>
      </c>
      <c r="I17">
        <v>1</v>
      </c>
      <c r="J17" s="18">
        <v>2.75</v>
      </c>
      <c r="K17" s="89">
        <f t="shared" si="3"/>
        <v>4.1760912590556813</v>
      </c>
      <c r="L17" s="18">
        <f t="shared" si="4"/>
        <v>2.75</v>
      </c>
      <c r="M17" s="98">
        <f t="shared" si="5"/>
        <v>0.97227182413150282</v>
      </c>
      <c r="N17" s="99">
        <f t="shared" si="6"/>
        <v>0.97233857730794637</v>
      </c>
      <c r="O17" s="97">
        <f t="shared" si="7"/>
        <v>6.865219379485315E-5</v>
      </c>
    </row>
    <row r="18" spans="1:15" x14ac:dyDescent="0.25">
      <c r="A18">
        <v>13</v>
      </c>
      <c r="B18" s="89">
        <v>5</v>
      </c>
      <c r="C18">
        <f t="shared" si="0"/>
        <v>1.7677669529663687</v>
      </c>
      <c r="D18" s="66">
        <v>16000</v>
      </c>
      <c r="E18">
        <f t="shared" si="1"/>
        <v>100530.96491487337</v>
      </c>
      <c r="F18">
        <v>161.1</v>
      </c>
      <c r="G18">
        <v>0.1</v>
      </c>
      <c r="H18">
        <f t="shared" si="2"/>
        <v>9.9999999999999995E-8</v>
      </c>
      <c r="I18">
        <v>0.5</v>
      </c>
      <c r="J18" s="18">
        <v>5.2</v>
      </c>
      <c r="K18" s="89">
        <f t="shared" si="3"/>
        <v>4.204119982655925</v>
      </c>
      <c r="L18" s="18">
        <f t="shared" si="4"/>
        <v>2.6</v>
      </c>
      <c r="M18" s="98">
        <f t="shared" si="5"/>
        <v>0.91923881554251174</v>
      </c>
      <c r="N18" s="99">
        <f t="shared" si="6"/>
        <v>0.9287387402798758</v>
      </c>
      <c r="O18" s="97">
        <f t="shared" si="7"/>
        <v>1.0228845126565137E-2</v>
      </c>
    </row>
    <row r="19" spans="1:15" x14ac:dyDescent="0.25">
      <c r="A19">
        <v>14</v>
      </c>
      <c r="B19" s="89">
        <v>5</v>
      </c>
      <c r="C19">
        <f t="shared" si="0"/>
        <v>1.7677669529663687</v>
      </c>
      <c r="D19" s="66">
        <v>17000</v>
      </c>
      <c r="E19">
        <f t="shared" si="1"/>
        <v>106814.15022205297</v>
      </c>
      <c r="F19">
        <v>161.1</v>
      </c>
      <c r="G19">
        <v>0.1</v>
      </c>
      <c r="H19">
        <f t="shared" si="2"/>
        <v>9.9999999999999995E-8</v>
      </c>
      <c r="I19">
        <v>0.5</v>
      </c>
      <c r="J19" s="18">
        <v>4.97</v>
      </c>
      <c r="K19" s="89">
        <f t="shared" si="3"/>
        <v>4.2304489213782741</v>
      </c>
      <c r="L19" s="18">
        <f t="shared" si="4"/>
        <v>2.4849999999999999</v>
      </c>
      <c r="M19" s="98">
        <f t="shared" si="5"/>
        <v>0.87858017562428514</v>
      </c>
      <c r="N19" s="99">
        <f t="shared" si="6"/>
        <v>0.88821633800617283</v>
      </c>
      <c r="O19" s="97">
        <f t="shared" si="7"/>
        <v>1.0848891164869255E-2</v>
      </c>
    </row>
    <row r="20" spans="1:15" x14ac:dyDescent="0.25">
      <c r="A20">
        <v>15</v>
      </c>
      <c r="B20" s="89">
        <v>5</v>
      </c>
      <c r="C20">
        <f t="shared" si="0"/>
        <v>1.7677669529663687</v>
      </c>
      <c r="D20" s="66">
        <v>18000</v>
      </c>
      <c r="E20">
        <f t="shared" si="1"/>
        <v>113097.33552923256</v>
      </c>
      <c r="F20">
        <v>161.1</v>
      </c>
      <c r="G20">
        <v>0.1</v>
      </c>
      <c r="H20">
        <f t="shared" si="2"/>
        <v>9.9999999999999995E-8</v>
      </c>
      <c r="I20">
        <v>0.5</v>
      </c>
      <c r="J20" s="18">
        <v>4.75</v>
      </c>
      <c r="K20" s="89">
        <f t="shared" si="3"/>
        <v>4.2552725051033065</v>
      </c>
      <c r="L20" s="18">
        <f t="shared" si="4"/>
        <v>2.375</v>
      </c>
      <c r="M20" s="98">
        <f t="shared" si="5"/>
        <v>0.83968930265902508</v>
      </c>
      <c r="N20" s="99">
        <f t="shared" si="6"/>
        <v>0.85054907085301124</v>
      </c>
      <c r="O20" s="97">
        <f t="shared" si="7"/>
        <v>1.2767950217257832E-2</v>
      </c>
    </row>
    <row r="21" spans="1:15" x14ac:dyDescent="0.25">
      <c r="A21">
        <v>16</v>
      </c>
      <c r="B21" s="89">
        <v>5</v>
      </c>
      <c r="C21">
        <f t="shared" si="0"/>
        <v>1.7677669529663687</v>
      </c>
      <c r="D21" s="66">
        <v>19000</v>
      </c>
      <c r="E21">
        <f t="shared" si="1"/>
        <v>119380.52083641214</v>
      </c>
      <c r="F21">
        <v>161.1</v>
      </c>
      <c r="G21">
        <v>0.1</v>
      </c>
      <c r="H21">
        <f t="shared" si="2"/>
        <v>9.9999999999999995E-8</v>
      </c>
      <c r="I21">
        <v>0.5</v>
      </c>
      <c r="J21" s="18">
        <v>4.55</v>
      </c>
      <c r="K21" s="89">
        <f t="shared" si="3"/>
        <v>4.2787536009528289</v>
      </c>
      <c r="L21" s="18">
        <f t="shared" si="4"/>
        <v>2.2749999999999999</v>
      </c>
      <c r="M21" s="98">
        <f t="shared" si="5"/>
        <v>0.80433396359969778</v>
      </c>
      <c r="N21" s="99">
        <f t="shared" si="6"/>
        <v>0.81551629738320863</v>
      </c>
      <c r="O21" s="97">
        <f t="shared" si="7"/>
        <v>1.3711968503133802E-2</v>
      </c>
    </row>
    <row r="22" spans="1:15" x14ac:dyDescent="0.25">
      <c r="A22">
        <v>17</v>
      </c>
      <c r="B22" s="89">
        <v>5</v>
      </c>
      <c r="C22">
        <f t="shared" si="0"/>
        <v>1.7677669529663687</v>
      </c>
      <c r="D22" s="66">
        <v>20000</v>
      </c>
      <c r="E22">
        <f t="shared" si="1"/>
        <v>125663.70614359173</v>
      </c>
      <c r="F22">
        <v>161.1</v>
      </c>
      <c r="G22">
        <v>0.1</v>
      </c>
      <c r="H22">
        <f t="shared" si="2"/>
        <v>9.9999999999999995E-8</v>
      </c>
      <c r="I22">
        <v>0.5</v>
      </c>
      <c r="J22" s="18">
        <v>4.3499999999999996</v>
      </c>
      <c r="K22" s="89">
        <f t="shared" si="3"/>
        <v>4.3010299956639813</v>
      </c>
      <c r="L22" s="18">
        <f t="shared" si="4"/>
        <v>2.1749999999999998</v>
      </c>
      <c r="M22" s="98">
        <f t="shared" si="5"/>
        <v>0.76897862454037036</v>
      </c>
      <c r="N22" s="99">
        <f t="shared" si="6"/>
        <v>0.78290574241803401</v>
      </c>
      <c r="O22" s="97">
        <f t="shared" si="7"/>
        <v>1.7789009740366984E-2</v>
      </c>
    </row>
    <row r="23" spans="1:15" x14ac:dyDescent="0.25">
      <c r="A23">
        <v>18</v>
      </c>
      <c r="B23" s="89">
        <v>5</v>
      </c>
      <c r="C23">
        <f t="shared" si="0"/>
        <v>1.7677669529663687</v>
      </c>
      <c r="D23" s="66">
        <v>22500</v>
      </c>
      <c r="E23">
        <f t="shared" si="1"/>
        <v>141371.6694115407</v>
      </c>
      <c r="F23">
        <v>161.1</v>
      </c>
      <c r="G23">
        <v>0.1</v>
      </c>
      <c r="H23">
        <f t="shared" si="2"/>
        <v>9.9999999999999995E-8</v>
      </c>
      <c r="I23">
        <v>0.5</v>
      </c>
      <c r="J23" s="18">
        <v>4</v>
      </c>
      <c r="K23" s="89">
        <f t="shared" si="3"/>
        <v>4.3521825181113627</v>
      </c>
      <c r="L23" s="18">
        <f t="shared" si="4"/>
        <v>2</v>
      </c>
      <c r="M23" s="98">
        <f t="shared" si="5"/>
        <v>0.70710678118654746</v>
      </c>
      <c r="N23" s="99">
        <f t="shared" si="6"/>
        <v>0.71069804058179242</v>
      </c>
      <c r="O23" s="97">
        <f t="shared" si="7"/>
        <v>5.0531437969142008E-3</v>
      </c>
    </row>
    <row r="24" spans="1:15" x14ac:dyDescent="0.25">
      <c r="A24">
        <v>19</v>
      </c>
      <c r="B24" s="89">
        <v>5</v>
      </c>
      <c r="C24">
        <f t="shared" si="0"/>
        <v>1.7677669529663687</v>
      </c>
      <c r="D24" s="66">
        <v>25000</v>
      </c>
      <c r="E24">
        <f t="shared" si="1"/>
        <v>157079.63267948964</v>
      </c>
      <c r="F24">
        <v>161.1</v>
      </c>
      <c r="G24">
        <v>0.1</v>
      </c>
      <c r="H24">
        <f t="shared" si="2"/>
        <v>9.9999999999999995E-8</v>
      </c>
      <c r="I24">
        <v>0.5</v>
      </c>
      <c r="J24" s="18">
        <v>3.65</v>
      </c>
      <c r="K24" s="89">
        <f t="shared" si="3"/>
        <v>4.3979400086720375</v>
      </c>
      <c r="L24" s="18">
        <f t="shared" si="4"/>
        <v>1.825</v>
      </c>
      <c r="M24" s="98">
        <f t="shared" si="5"/>
        <v>0.64523493783272456</v>
      </c>
      <c r="N24" s="99">
        <f t="shared" si="6"/>
        <v>0.64968174855616601</v>
      </c>
      <c r="O24" s="97">
        <f t="shared" si="7"/>
        <v>6.8445985027652465E-3</v>
      </c>
    </row>
    <row r="25" spans="1:15" x14ac:dyDescent="0.25">
      <c r="A25">
        <v>20</v>
      </c>
      <c r="B25" s="89">
        <v>5</v>
      </c>
      <c r="C25">
        <f t="shared" si="0"/>
        <v>1.7677669529663687</v>
      </c>
      <c r="D25" s="66">
        <v>27500</v>
      </c>
      <c r="E25">
        <f t="shared" si="1"/>
        <v>172787.59594743862</v>
      </c>
      <c r="F25">
        <v>161.1</v>
      </c>
      <c r="G25">
        <v>0.1</v>
      </c>
      <c r="H25">
        <f t="shared" si="2"/>
        <v>9.9999999999999995E-8</v>
      </c>
      <c r="I25">
        <v>0.5</v>
      </c>
      <c r="J25" s="18">
        <v>3.37</v>
      </c>
      <c r="K25" s="89">
        <f t="shared" si="3"/>
        <v>4.4393326938302629</v>
      </c>
      <c r="L25" s="18">
        <f t="shared" si="4"/>
        <v>1.6850000000000001</v>
      </c>
      <c r="M25" s="98">
        <f t="shared" si="5"/>
        <v>0.59573746314966625</v>
      </c>
      <c r="N25" s="99">
        <f t="shared" si="6"/>
        <v>0.59766640814677086</v>
      </c>
      <c r="O25" s="97">
        <f t="shared" si="7"/>
        <v>3.2274609561642152E-3</v>
      </c>
    </row>
    <row r="26" spans="1:15" x14ac:dyDescent="0.25">
      <c r="A26">
        <v>21</v>
      </c>
      <c r="B26" s="89">
        <v>5</v>
      </c>
      <c r="C26">
        <f t="shared" si="0"/>
        <v>1.7677669529663687</v>
      </c>
      <c r="D26" s="66">
        <v>30000</v>
      </c>
      <c r="E26">
        <f t="shared" si="1"/>
        <v>188495.55921538759</v>
      </c>
      <c r="F26">
        <v>161.1</v>
      </c>
      <c r="G26">
        <v>0.1</v>
      </c>
      <c r="H26">
        <f t="shared" si="2"/>
        <v>9.9999999999999995E-8</v>
      </c>
      <c r="I26">
        <v>0.5</v>
      </c>
      <c r="J26" s="18">
        <v>3.1</v>
      </c>
      <c r="K26" s="89">
        <f t="shared" si="3"/>
        <v>4.4771212547196626</v>
      </c>
      <c r="L26" s="18">
        <f t="shared" si="4"/>
        <v>1.55</v>
      </c>
      <c r="M26" s="98">
        <f t="shared" si="5"/>
        <v>0.54800775541957436</v>
      </c>
      <c r="N26" s="99">
        <f t="shared" si="6"/>
        <v>0.55293160299876942</v>
      </c>
      <c r="O26" s="97">
        <f t="shared" si="7"/>
        <v>8.9049849067969079E-3</v>
      </c>
    </row>
    <row r="27" spans="1:15" x14ac:dyDescent="0.25">
      <c r="A27">
        <v>22</v>
      </c>
      <c r="B27" s="89">
        <v>5</v>
      </c>
      <c r="C27">
        <f t="shared" si="0"/>
        <v>1.7677669529663687</v>
      </c>
      <c r="D27" s="66">
        <v>35000</v>
      </c>
      <c r="E27">
        <f t="shared" si="1"/>
        <v>219911.48575128551</v>
      </c>
      <c r="F27">
        <v>161.1</v>
      </c>
      <c r="G27">
        <v>0.1</v>
      </c>
      <c r="H27">
        <f t="shared" si="2"/>
        <v>9.9999999999999995E-8</v>
      </c>
      <c r="I27">
        <v>0.5</v>
      </c>
      <c r="J27" s="18">
        <v>2.7</v>
      </c>
      <c r="K27" s="89">
        <f t="shared" si="3"/>
        <v>4.5440680443502757</v>
      </c>
      <c r="L27" s="18">
        <f t="shared" si="4"/>
        <v>1.35</v>
      </c>
      <c r="M27" s="98">
        <f t="shared" si="5"/>
        <v>0.47729707730091958</v>
      </c>
      <c r="N27" s="99">
        <f t="shared" si="6"/>
        <v>0.48021460719557835</v>
      </c>
      <c r="O27" s="97">
        <f t="shared" si="7"/>
        <v>6.0754709476601469E-3</v>
      </c>
    </row>
    <row r="28" spans="1:15" x14ac:dyDescent="0.25">
      <c r="A28">
        <v>23</v>
      </c>
      <c r="B28" s="89">
        <v>5</v>
      </c>
      <c r="C28">
        <f t="shared" si="0"/>
        <v>1.7677669529663687</v>
      </c>
      <c r="D28" s="66">
        <v>37500</v>
      </c>
      <c r="E28">
        <f t="shared" si="1"/>
        <v>235619.44901923448</v>
      </c>
      <c r="F28">
        <v>161.1</v>
      </c>
      <c r="G28">
        <v>0.1</v>
      </c>
      <c r="H28">
        <f t="shared" si="2"/>
        <v>9.9999999999999995E-8</v>
      </c>
      <c r="I28">
        <v>0.5</v>
      </c>
      <c r="J28" s="18">
        <v>2.5499999999999998</v>
      </c>
      <c r="K28" s="89">
        <f t="shared" si="3"/>
        <v>4.5740312677277188</v>
      </c>
      <c r="L28" s="18">
        <f t="shared" si="4"/>
        <v>1.2749999999999999</v>
      </c>
      <c r="M28" s="98">
        <f t="shared" si="5"/>
        <v>0.45078057300642399</v>
      </c>
      <c r="N28" s="99">
        <f t="shared" si="6"/>
        <v>0.45034709185031102</v>
      </c>
      <c r="O28" s="97">
        <f t="shared" si="7"/>
        <v>9.6254902930971345E-4</v>
      </c>
    </row>
    <row r="29" spans="1:15" x14ac:dyDescent="0.25">
      <c r="A29">
        <v>24</v>
      </c>
      <c r="B29" s="89">
        <v>5</v>
      </c>
      <c r="C29">
        <f t="shared" si="0"/>
        <v>1.7677669529663687</v>
      </c>
      <c r="D29" s="66">
        <v>45000</v>
      </c>
      <c r="E29">
        <f t="shared" si="1"/>
        <v>282743.3388230814</v>
      </c>
      <c r="F29">
        <v>161.1</v>
      </c>
      <c r="G29">
        <v>0.1</v>
      </c>
      <c r="H29">
        <f t="shared" si="2"/>
        <v>9.9999999999999995E-8</v>
      </c>
      <c r="I29">
        <v>0.2</v>
      </c>
      <c r="J29" s="18">
        <v>5.45</v>
      </c>
      <c r="K29" s="89">
        <f t="shared" si="3"/>
        <v>4.653212513775344</v>
      </c>
      <c r="L29" s="18">
        <f t="shared" si="4"/>
        <v>1.0900000000000001</v>
      </c>
      <c r="M29" s="98">
        <f t="shared" si="5"/>
        <v>0.3853731957466684</v>
      </c>
      <c r="N29" s="99">
        <f t="shared" si="6"/>
        <v>0.3790666146643879</v>
      </c>
      <c r="O29" s="97">
        <f t="shared" si="7"/>
        <v>1.6637131412546358E-2</v>
      </c>
    </row>
    <row r="30" spans="1:15" x14ac:dyDescent="0.25">
      <c r="A30">
        <v>25</v>
      </c>
      <c r="B30" s="89">
        <v>5</v>
      </c>
      <c r="C30">
        <f t="shared" si="0"/>
        <v>1.7677669529663687</v>
      </c>
      <c r="D30" s="66">
        <v>50000</v>
      </c>
      <c r="E30">
        <f t="shared" si="1"/>
        <v>314159.26535897929</v>
      </c>
      <c r="F30">
        <v>161.1</v>
      </c>
      <c r="G30">
        <v>0.1</v>
      </c>
      <c r="H30">
        <f t="shared" si="2"/>
        <v>9.9999999999999995E-8</v>
      </c>
      <c r="I30">
        <v>0.2</v>
      </c>
      <c r="J30" s="18">
        <v>4.95</v>
      </c>
      <c r="K30" s="89">
        <f t="shared" si="3"/>
        <v>4.6989700043360187</v>
      </c>
      <c r="L30" s="89">
        <f t="shared" si="4"/>
        <v>0.9900000000000001</v>
      </c>
      <c r="M30" s="98">
        <f t="shared" si="5"/>
        <v>0.35001785668734103</v>
      </c>
      <c r="N30" s="99">
        <f t="shared" si="6"/>
        <v>0.34266005178938513</v>
      </c>
      <c r="O30" s="97">
        <f t="shared" si="7"/>
        <v>2.1472607791696564E-2</v>
      </c>
    </row>
    <row r="31" spans="1:15" x14ac:dyDescent="0.25">
      <c r="A31">
        <v>26</v>
      </c>
      <c r="B31" s="89">
        <v>5</v>
      </c>
      <c r="C31">
        <f t="shared" si="0"/>
        <v>1.7677669529663687</v>
      </c>
      <c r="D31" s="66">
        <v>65000</v>
      </c>
      <c r="E31">
        <f t="shared" si="1"/>
        <v>408407.04496667313</v>
      </c>
      <c r="F31">
        <v>161.1</v>
      </c>
      <c r="G31">
        <v>0.1</v>
      </c>
      <c r="H31">
        <f t="shared" si="2"/>
        <v>9.9999999999999995E-8</v>
      </c>
      <c r="I31">
        <v>0.2</v>
      </c>
      <c r="J31" s="18">
        <v>3.87</v>
      </c>
      <c r="K31" s="89">
        <f t="shared" si="3"/>
        <v>4.8129133566428557</v>
      </c>
      <c r="L31" s="89">
        <f t="shared" si="4"/>
        <v>0.77400000000000002</v>
      </c>
      <c r="M31" s="98">
        <f t="shared" si="5"/>
        <v>0.27365032431919389</v>
      </c>
      <c r="N31" s="99">
        <f t="shared" si="6"/>
        <v>0.26562997700095287</v>
      </c>
      <c r="O31" s="97">
        <f t="shared" si="7"/>
        <v>3.0193682990125235E-2</v>
      </c>
    </row>
    <row r="32" spans="1:15" x14ac:dyDescent="0.25">
      <c r="A32">
        <v>27</v>
      </c>
      <c r="B32" s="89">
        <v>5</v>
      </c>
      <c r="C32">
        <f t="shared" si="0"/>
        <v>1.7677669529663687</v>
      </c>
      <c r="D32" s="66">
        <v>70000</v>
      </c>
      <c r="E32">
        <f t="shared" si="1"/>
        <v>439822.97150257102</v>
      </c>
      <c r="F32">
        <v>161.1</v>
      </c>
      <c r="G32">
        <v>0.1</v>
      </c>
      <c r="H32">
        <f t="shared" si="2"/>
        <v>9.9999999999999995E-8</v>
      </c>
      <c r="I32">
        <v>0.2</v>
      </c>
      <c r="J32" s="18">
        <v>3.6</v>
      </c>
      <c r="K32" s="89">
        <f t="shared" si="3"/>
        <v>4.8450980400142569</v>
      </c>
      <c r="L32" s="89">
        <f t="shared" si="4"/>
        <v>0.72000000000000008</v>
      </c>
      <c r="M32" s="98">
        <f t="shared" si="5"/>
        <v>0.2545584412271571</v>
      </c>
      <c r="N32" s="99">
        <f t="shared" si="6"/>
        <v>0.24704090054061914</v>
      </c>
      <c r="O32" s="97">
        <f t="shared" si="7"/>
        <v>3.0430348456821223E-2</v>
      </c>
    </row>
    <row r="33" spans="1:15" x14ac:dyDescent="0.25">
      <c r="A33">
        <v>28</v>
      </c>
      <c r="B33" s="89">
        <v>5</v>
      </c>
      <c r="C33">
        <f t="shared" si="0"/>
        <v>1.7677669529663687</v>
      </c>
      <c r="D33" s="66">
        <v>75000</v>
      </c>
      <c r="E33">
        <f t="shared" si="1"/>
        <v>471238.89803846896</v>
      </c>
      <c r="F33">
        <v>161.1</v>
      </c>
      <c r="G33">
        <v>0.1</v>
      </c>
      <c r="H33">
        <f t="shared" si="2"/>
        <v>9.9999999999999995E-8</v>
      </c>
      <c r="I33">
        <v>0.2</v>
      </c>
      <c r="J33" s="18">
        <v>3.35</v>
      </c>
      <c r="K33" s="89">
        <f t="shared" si="3"/>
        <v>4.8750612633917001</v>
      </c>
      <c r="L33" s="89">
        <f t="shared" si="4"/>
        <v>0.67</v>
      </c>
      <c r="M33" s="98">
        <f t="shared" si="5"/>
        <v>0.23688077169749341</v>
      </c>
      <c r="N33" s="99">
        <f t="shared" si="6"/>
        <v>0.2308622437321784</v>
      </c>
      <c r="O33" s="97">
        <f t="shared" si="7"/>
        <v>2.6069780263840235E-2</v>
      </c>
    </row>
    <row r="34" spans="1:15" x14ac:dyDescent="0.25">
      <c r="A34">
        <v>29</v>
      </c>
      <c r="B34" s="89">
        <v>5</v>
      </c>
      <c r="C34">
        <f t="shared" si="0"/>
        <v>1.7677669529663687</v>
      </c>
      <c r="D34" s="66">
        <v>85000</v>
      </c>
      <c r="E34">
        <f t="shared" si="1"/>
        <v>534070.7511102648</v>
      </c>
      <c r="F34">
        <v>161.1</v>
      </c>
      <c r="G34">
        <v>0.1</v>
      </c>
      <c r="H34">
        <f t="shared" si="2"/>
        <v>9.9999999999999995E-8</v>
      </c>
      <c r="I34">
        <v>0.2</v>
      </c>
      <c r="J34" s="18">
        <v>3</v>
      </c>
      <c r="K34" s="89">
        <f t="shared" si="3"/>
        <v>4.9294189257142929</v>
      </c>
      <c r="L34" s="89">
        <f t="shared" si="4"/>
        <v>0.60000000000000009</v>
      </c>
      <c r="M34" s="98">
        <f t="shared" si="5"/>
        <v>0.21213203435596428</v>
      </c>
      <c r="N34" s="99">
        <f t="shared" si="6"/>
        <v>0.20408775606510005</v>
      </c>
      <c r="O34" s="97">
        <f t="shared" si="7"/>
        <v>3.9415780965803102E-2</v>
      </c>
    </row>
    <row r="35" spans="1:15" x14ac:dyDescent="0.25">
      <c r="A35">
        <v>30</v>
      </c>
      <c r="B35" s="89">
        <v>5</v>
      </c>
      <c r="C35">
        <f t="shared" si="0"/>
        <v>1.7677669529663687</v>
      </c>
      <c r="D35" s="66">
        <v>100000</v>
      </c>
      <c r="E35">
        <f t="shared" si="1"/>
        <v>628318.53071795858</v>
      </c>
      <c r="F35">
        <v>161.1</v>
      </c>
      <c r="G35">
        <v>0.1</v>
      </c>
      <c r="H35">
        <f t="shared" si="2"/>
        <v>9.9999999999999995E-8</v>
      </c>
      <c r="I35">
        <v>0.1</v>
      </c>
      <c r="J35" s="18">
        <v>5.07</v>
      </c>
      <c r="K35" s="89">
        <f t="shared" si="3"/>
        <v>5</v>
      </c>
      <c r="L35" s="89">
        <f t="shared" si="4"/>
        <v>0.50700000000000001</v>
      </c>
      <c r="M35" s="98">
        <f t="shared" si="5"/>
        <v>0.17925156903078979</v>
      </c>
      <c r="N35" s="99">
        <f t="shared" si="6"/>
        <v>0.17379629893063933</v>
      </c>
      <c r="O35" s="97">
        <f t="shared" si="7"/>
        <v>3.1388873835153465E-2</v>
      </c>
    </row>
    <row r="36" spans="1:15" x14ac:dyDescent="0.25">
      <c r="A36">
        <v>31</v>
      </c>
      <c r="B36" s="89">
        <v>5</v>
      </c>
      <c r="C36">
        <f t="shared" si="0"/>
        <v>1.7677669529663687</v>
      </c>
      <c r="D36" s="66">
        <v>125000</v>
      </c>
      <c r="E36">
        <f t="shared" si="1"/>
        <v>785398.16339744825</v>
      </c>
      <c r="F36">
        <v>161.1</v>
      </c>
      <c r="G36">
        <v>0.1</v>
      </c>
      <c r="H36">
        <f t="shared" si="2"/>
        <v>9.9999999999999995E-8</v>
      </c>
      <c r="I36">
        <v>0.1</v>
      </c>
      <c r="J36" s="18">
        <v>4</v>
      </c>
      <c r="K36" s="89">
        <f t="shared" si="3"/>
        <v>5.0969100130080562</v>
      </c>
      <c r="L36" s="89">
        <f t="shared" si="4"/>
        <v>0.4</v>
      </c>
      <c r="M36" s="98">
        <f t="shared" si="5"/>
        <v>0.1414213562373095</v>
      </c>
      <c r="N36" s="99">
        <f t="shared" si="6"/>
        <v>0.13927957125302226</v>
      </c>
      <c r="O36" s="97">
        <f t="shared" si="7"/>
        <v>1.5377596046705001E-2</v>
      </c>
    </row>
    <row r="37" spans="1:15" x14ac:dyDescent="0.25">
      <c r="A37">
        <v>32</v>
      </c>
      <c r="B37" s="89">
        <v>5</v>
      </c>
      <c r="C37">
        <f t="shared" si="0"/>
        <v>1.7677669529663687</v>
      </c>
      <c r="D37" s="66">
        <v>150000</v>
      </c>
      <c r="E37">
        <f t="shared" si="1"/>
        <v>942477.79607693793</v>
      </c>
      <c r="F37">
        <v>161.1</v>
      </c>
      <c r="G37">
        <v>0.1</v>
      </c>
      <c r="H37">
        <f t="shared" si="2"/>
        <v>9.9999999999999995E-8</v>
      </c>
      <c r="I37">
        <v>0.1</v>
      </c>
      <c r="J37" s="18">
        <v>3.4</v>
      </c>
      <c r="K37" s="89">
        <f t="shared" si="3"/>
        <v>5.1760912590556813</v>
      </c>
      <c r="L37" s="89">
        <f t="shared" si="4"/>
        <v>0.34</v>
      </c>
      <c r="M37" s="98">
        <f t="shared" si="5"/>
        <v>0.12020815280171308</v>
      </c>
      <c r="N37" s="99">
        <f t="shared" si="6"/>
        <v>0.11617654184792055</v>
      </c>
      <c r="O37" s="97">
        <f t="shared" si="7"/>
        <v>3.4702452747044803E-2</v>
      </c>
    </row>
    <row r="38" spans="1:15" x14ac:dyDescent="0.25">
      <c r="A38">
        <v>33</v>
      </c>
      <c r="B38" s="89">
        <v>5</v>
      </c>
      <c r="C38">
        <f t="shared" si="0"/>
        <v>1.7677669529663687</v>
      </c>
      <c r="D38" s="66">
        <v>200000</v>
      </c>
      <c r="E38">
        <f t="shared" si="1"/>
        <v>1256637.0614359172</v>
      </c>
      <c r="F38">
        <v>161.1</v>
      </c>
      <c r="G38">
        <v>0.1</v>
      </c>
      <c r="H38">
        <f t="shared" si="2"/>
        <v>9.9999999999999995E-8</v>
      </c>
      <c r="I38">
        <v>0.05</v>
      </c>
      <c r="J38" s="18">
        <v>4.9000000000000004</v>
      </c>
      <c r="K38" s="89">
        <f t="shared" si="3"/>
        <v>5.3010299956639813</v>
      </c>
      <c r="L38" s="89">
        <f t="shared" si="4"/>
        <v>0.24500000000000002</v>
      </c>
      <c r="M38" s="98">
        <f t="shared" si="5"/>
        <v>8.662058069535207E-2</v>
      </c>
      <c r="N38" s="99">
        <f t="shared" si="6"/>
        <v>8.7214844993395685E-2</v>
      </c>
      <c r="O38" s="97">
        <f t="shared" si="7"/>
        <v>6.8137975603650407E-3</v>
      </c>
    </row>
    <row r="39" spans="1:15" x14ac:dyDescent="0.25">
      <c r="D39" s="66"/>
      <c r="E39" s="66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表1</vt:lpstr>
      <vt:lpstr>表2 A类不确定度</vt:lpstr>
      <vt:lpstr>表3 A类不确定度</vt:lpstr>
      <vt:lpstr>选做 预处理</vt:lpstr>
      <vt:lpstr>选做 正式数据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momooo</dc:creator>
  <cp:lastModifiedBy>momooo</cp:lastModifiedBy>
  <dcterms:created xsi:type="dcterms:W3CDTF">2025-04-04T02:58:04Z</dcterms:created>
  <dcterms:modified xsi:type="dcterms:W3CDTF">2025-04-04T03:16:36Z</dcterms:modified>
</cp:coreProperties>
</file>