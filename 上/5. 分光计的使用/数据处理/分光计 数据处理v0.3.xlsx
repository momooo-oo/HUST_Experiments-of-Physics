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新文件\2. 大一下\1. 学习资料\6. 物理实验\5. 分光计的使用\数据处理\"/>
    </mc:Choice>
  </mc:AlternateContent>
  <xr:revisionPtr revIDLastSave="0" documentId="13_ncr:1_{F877FE9C-6E90-4486-9721-5CE7CD07C7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必做" sheetId="1" r:id="rId1"/>
    <sheet name="选做1" sheetId="3" r:id="rId2"/>
    <sheet name="选做2" sheetId="5" r:id="rId3"/>
    <sheet name="data1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15" i="1" l="1"/>
  <c r="Y25" i="1"/>
  <c r="AC9" i="3"/>
  <c r="AA9" i="3"/>
  <c r="AA8" i="3"/>
  <c r="AC8" i="3"/>
  <c r="B19" i="3"/>
  <c r="N18" i="3"/>
  <c r="N17" i="3"/>
  <c r="N16" i="3"/>
  <c r="AD24" i="1"/>
  <c r="AE24" i="1"/>
  <c r="AF24" i="1"/>
  <c r="AG24" i="1"/>
  <c r="AD28" i="1" l="1"/>
  <c r="AD29" i="1" s="1"/>
  <c r="C2" i="6"/>
  <c r="D2" i="6"/>
  <c r="B2" i="6"/>
  <c r="S21" i="5"/>
  <c r="S22" i="5" s="1"/>
  <c r="N9" i="5"/>
  <c r="J9" i="5"/>
  <c r="F9" i="5"/>
  <c r="B9" i="5"/>
  <c r="F12" i="5" s="1"/>
  <c r="N8" i="5"/>
  <c r="J8" i="5"/>
  <c r="F8" i="5"/>
  <c r="B8" i="5"/>
  <c r="N7" i="5"/>
  <c r="J7" i="5"/>
  <c r="F7" i="5"/>
  <c r="B7" i="5"/>
  <c r="S24" i="3"/>
  <c r="S25" i="3" s="1"/>
  <c r="B9" i="3"/>
  <c r="F7" i="3"/>
  <c r="B7" i="3"/>
  <c r="J7" i="3"/>
  <c r="N7" i="3"/>
  <c r="B8" i="3"/>
  <c r="F8" i="3"/>
  <c r="J8" i="3"/>
  <c r="N8" i="3"/>
  <c r="F9" i="3"/>
  <c r="J9" i="3"/>
  <c r="N9" i="3"/>
  <c r="F11" i="5" l="1"/>
  <c r="N12" i="5"/>
  <c r="F15" i="5" s="1"/>
  <c r="N11" i="5"/>
  <c r="F14" i="5" s="1"/>
  <c r="F10" i="5"/>
  <c r="N10" i="5"/>
  <c r="F11" i="3"/>
  <c r="N12" i="3"/>
  <c r="F10" i="3"/>
  <c r="N11" i="3"/>
  <c r="N10" i="3"/>
  <c r="F12" i="3"/>
  <c r="F13" i="5" l="1"/>
  <c r="U6" i="5"/>
  <c r="F14" i="3"/>
  <c r="F17" i="3"/>
  <c r="U5" i="3"/>
  <c r="F15" i="3"/>
  <c r="F13" i="3"/>
  <c r="W6" i="5" l="1"/>
  <c r="N15" i="5"/>
  <c r="S15" i="5" s="1"/>
  <c r="T4" i="5"/>
  <c r="T5" i="5"/>
  <c r="T6" i="5"/>
  <c r="W4" i="3"/>
  <c r="T4" i="3"/>
  <c r="W6" i="3"/>
  <c r="W5" i="3"/>
  <c r="N14" i="3" s="1"/>
  <c r="T5" i="3"/>
  <c r="T6" i="3"/>
  <c r="Y5" i="3"/>
  <c r="AA5" i="3" s="1"/>
  <c r="U4" i="5"/>
  <c r="U5" i="5"/>
  <c r="F16" i="3"/>
  <c r="U4" i="3"/>
  <c r="F18" i="3"/>
  <c r="U6" i="3"/>
  <c r="C10" i="1"/>
  <c r="S13" i="1"/>
  <c r="S12" i="1"/>
  <c r="S11" i="1"/>
  <c r="S10" i="1"/>
  <c r="O13" i="1"/>
  <c r="O12" i="1"/>
  <c r="O11" i="1"/>
  <c r="O10" i="1"/>
  <c r="K13" i="1"/>
  <c r="K12" i="1"/>
  <c r="K11" i="1"/>
  <c r="K10" i="1"/>
  <c r="G13" i="1"/>
  <c r="G12" i="1"/>
  <c r="G11" i="1"/>
  <c r="G10" i="1"/>
  <c r="C11" i="1"/>
  <c r="C12" i="1"/>
  <c r="C13" i="1"/>
  <c r="W5" i="5" l="1"/>
  <c r="N14" i="5"/>
  <c r="W4" i="5"/>
  <c r="N13" i="5"/>
  <c r="N15" i="3"/>
  <c r="N13" i="3"/>
  <c r="S14" i="3"/>
  <c r="Y6" i="3"/>
  <c r="AA6" i="3" s="1"/>
  <c r="S15" i="3"/>
  <c r="C14" i="1"/>
  <c r="S13" i="5"/>
  <c r="Y4" i="3"/>
  <c r="AA4" i="3" s="1"/>
  <c r="O15" i="1"/>
  <c r="C15" i="1"/>
  <c r="S14" i="1"/>
  <c r="G15" i="1"/>
  <c r="S15" i="1"/>
  <c r="K14" i="1"/>
  <c r="K15" i="1"/>
  <c r="G14" i="1"/>
  <c r="O14" i="1"/>
  <c r="S17" i="3" l="1"/>
  <c r="C16" i="1"/>
  <c r="C21" i="1" s="1"/>
  <c r="S18" i="3"/>
  <c r="S13" i="3"/>
  <c r="S14" i="5"/>
  <c r="T16" i="5" s="1"/>
  <c r="T14" i="5" s="1"/>
  <c r="O16" i="1"/>
  <c r="S16" i="1"/>
  <c r="G16" i="1"/>
  <c r="K16" i="1"/>
  <c r="C18" i="1" l="1"/>
  <c r="U8" i="5"/>
  <c r="E21" i="1"/>
  <c r="AC23" i="1" s="1"/>
  <c r="AC24" i="1" s="1"/>
  <c r="S16" i="3"/>
  <c r="O18" i="1"/>
  <c r="O21" i="1"/>
  <c r="K18" i="1"/>
  <c r="S21" i="1"/>
  <c r="S18" i="1"/>
  <c r="C17" i="1"/>
  <c r="G21" i="1"/>
  <c r="G18" i="1"/>
  <c r="K21" i="1"/>
  <c r="W8" i="5" l="1"/>
  <c r="B16" i="5" s="1"/>
  <c r="G20" i="1"/>
  <c r="K20" i="1"/>
  <c r="O20" i="1"/>
  <c r="S20" i="1"/>
  <c r="C20" i="1"/>
  <c r="T18" i="3"/>
  <c r="T16" i="3" s="1"/>
  <c r="I21" i="1"/>
  <c r="AD23" i="1" s="1"/>
  <c r="Q21" i="1"/>
  <c r="AF23" i="1"/>
  <c r="M21" i="1"/>
  <c r="AE23" i="1"/>
  <c r="U21" i="1"/>
  <c r="AG23" i="1" s="1"/>
  <c r="C19" i="1"/>
  <c r="Y8" i="5" l="1"/>
  <c r="B17" i="5"/>
  <c r="AH23" i="1"/>
  <c r="C4" i="6" l="1"/>
  <c r="S18" i="5"/>
  <c r="S16" i="5"/>
  <c r="S17" i="5"/>
  <c r="K22" i="1"/>
  <c r="M22" i="1" s="1"/>
  <c r="Y18" i="1" s="1"/>
  <c r="AH24" i="1"/>
  <c r="B18" i="5" l="1"/>
  <c r="B19" i="5" s="1"/>
  <c r="B20" i="5" s="1"/>
  <c r="B21" i="5" s="1"/>
  <c r="B22" i="5" s="1"/>
  <c r="AF20" i="1"/>
  <c r="AD20" i="1"/>
  <c r="AE20" i="1"/>
  <c r="AG20" i="1"/>
  <c r="AC20" i="1"/>
  <c r="Y8" i="3"/>
  <c r="U9" i="5" l="1"/>
  <c r="W9" i="5" s="1"/>
  <c r="Y19" i="1"/>
  <c r="Y20" i="1" s="1"/>
  <c r="Y21" i="1" s="1"/>
  <c r="Y22" i="1" s="1"/>
  <c r="Y23" i="1" s="1"/>
  <c r="Y9" i="5" l="1"/>
  <c r="B20" i="3"/>
  <c r="K23" i="1"/>
  <c r="M23" i="1" s="1"/>
  <c r="B25" i="5" l="1"/>
  <c r="B26" i="5" s="1"/>
  <c r="B4" i="6" s="1"/>
  <c r="S19" i="3"/>
  <c r="C3" i="6"/>
  <c r="E4" i="6" s="1"/>
  <c r="Z16" i="1" s="1"/>
  <c r="C24" i="1" s="1"/>
  <c r="S20" i="3"/>
  <c r="S21" i="3"/>
  <c r="B21" i="3" l="1"/>
  <c r="B22" i="3" s="1"/>
  <c r="B23" i="3" s="1"/>
  <c r="B24" i="3" s="1"/>
  <c r="B25" i="3" s="1"/>
  <c r="Y9" i="3" l="1"/>
  <c r="B28" i="3" l="1"/>
  <c r="B29" i="3" s="1"/>
  <c r="B3" i="6" s="1"/>
  <c r="E2" i="6" s="1"/>
  <c r="Z15" i="1" s="1"/>
  <c r="AC16" i="1" s="1"/>
  <c r="C25" i="1" s="1"/>
</calcChain>
</file>

<file path=xl/sharedStrings.xml><?xml version="1.0" encoding="utf-8"?>
<sst xmlns="http://schemas.openxmlformats.org/spreadsheetml/2006/main" count="326" uniqueCount="110">
  <si>
    <t>度</t>
    <phoneticPr fontId="1" type="noConversion"/>
  </si>
  <si>
    <t>分</t>
    <phoneticPr fontId="1" type="noConversion"/>
  </si>
  <si>
    <t>°</t>
    <phoneticPr fontId="1" type="noConversion"/>
  </si>
  <si>
    <t>′</t>
    <phoneticPr fontId="1" type="noConversion"/>
  </si>
  <si>
    <r>
      <rPr>
        <sz val="11"/>
        <color theme="1"/>
        <rFont val="宋体"/>
        <family val="3"/>
        <charset val="134"/>
      </rPr>
      <t>测量次数→→→</t>
    </r>
    <phoneticPr fontId="1" type="noConversion"/>
  </si>
  <si>
    <r>
      <rPr>
        <b/>
        <sz val="12"/>
        <color rgb="FFFF0000"/>
        <rFont val="宋体"/>
        <family val="3"/>
        <charset val="134"/>
      </rPr>
      <t>注意右侧单位！！！！</t>
    </r>
    <phoneticPr fontId="1" type="noConversion"/>
  </si>
  <si>
    <r>
      <rPr>
        <sz val="11"/>
        <color theme="1"/>
        <rFont val="宋体"/>
        <family val="3"/>
        <charset val="134"/>
      </rPr>
      <t>入射像的位置</t>
    </r>
    <phoneticPr fontId="1" type="noConversion"/>
  </si>
  <si>
    <r>
      <rPr>
        <sz val="11"/>
        <color theme="1"/>
        <rFont val="宋体"/>
        <family val="3"/>
        <charset val="134"/>
      </rPr>
      <t>左游标读数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左</t>
    </r>
    <phoneticPr fontId="1" type="noConversion"/>
  </si>
  <si>
    <r>
      <rPr>
        <sz val="11"/>
        <color theme="1"/>
        <rFont val="宋体"/>
        <family val="3"/>
        <charset val="134"/>
      </rPr>
      <t>右游标读数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右</t>
    </r>
    <phoneticPr fontId="1" type="noConversion"/>
  </si>
  <si>
    <r>
      <rPr>
        <sz val="11"/>
        <color theme="1"/>
        <rFont val="宋体"/>
        <family val="3"/>
        <charset val="134"/>
      </rPr>
      <t>左游标读数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左</t>
    </r>
    <r>
      <rPr>
        <sz val="11"/>
        <color theme="1"/>
        <rFont val="Times New Roman"/>
        <family val="1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</si>
  <si>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右游标读数</t>
    </r>
    <r>
      <rPr>
        <sz val="11"/>
        <color theme="1"/>
        <rFont val="Times New Roman"/>
        <family val="1"/>
      </rPr>
      <t xml:space="preserve"> φ</t>
    </r>
    <r>
      <rPr>
        <sz val="11"/>
        <color theme="1"/>
        <rFont val="宋体"/>
        <family val="3"/>
        <charset val="134"/>
      </rPr>
      <t>右</t>
    </r>
    <r>
      <rPr>
        <sz val="11"/>
        <color theme="1"/>
        <rFont val="Times New Roman"/>
        <family val="1"/>
      </rPr>
      <t>0</t>
    </r>
    <phoneticPr fontId="1" type="noConversion"/>
  </si>
  <si>
    <r>
      <rPr>
        <sz val="11"/>
        <color theme="1"/>
        <rFont val="宋体"/>
        <family val="3"/>
        <charset val="134"/>
      </rPr>
      <t>左游标示数</t>
    </r>
    <phoneticPr fontId="1" type="noConversion"/>
  </si>
  <si>
    <r>
      <rPr>
        <sz val="11"/>
        <color theme="1"/>
        <rFont val="宋体"/>
        <family val="3"/>
        <charset val="134"/>
      </rPr>
      <t>右游标示数</t>
    </r>
    <phoneticPr fontId="1" type="noConversion"/>
  </si>
  <si>
    <r>
      <rPr>
        <sz val="11"/>
        <color theme="1"/>
        <rFont val="宋体"/>
        <family val="3"/>
        <charset val="134"/>
      </rPr>
      <t>单位转换</t>
    </r>
    <phoneticPr fontId="1" type="noConversion"/>
  </si>
  <si>
    <r>
      <rPr>
        <sz val="11"/>
        <color theme="1"/>
        <rFont val="宋体"/>
        <family val="3"/>
        <charset val="134"/>
      </rPr>
      <t>单位：</t>
    </r>
    <r>
      <rPr>
        <sz val="11"/>
        <color theme="1"/>
        <rFont val="Times New Roman"/>
        <family val="1"/>
      </rPr>
      <t>°</t>
    </r>
    <phoneticPr fontId="1" type="noConversion"/>
  </si>
  <si>
    <r>
      <t>abs</t>
    </r>
    <r>
      <rPr>
        <sz val="11"/>
        <color theme="1"/>
        <rFont val="宋体"/>
        <family val="3"/>
        <charset val="134"/>
      </rPr>
      <t>左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</si>
  <si>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abs</t>
    </r>
    <r>
      <rPr>
        <sz val="11"/>
        <color theme="1"/>
        <rFont val="宋体"/>
        <family val="3"/>
        <charset val="134"/>
      </rPr>
      <t>右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</si>
  <si>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rPr>
        <sz val="11"/>
        <color theme="1"/>
        <rFont val="宋体"/>
        <family val="3"/>
        <charset val="134"/>
      </rPr>
      <t>未转回</t>
    </r>
    <phoneticPr fontId="1" type="noConversion"/>
  </si>
  <si>
    <r>
      <rPr>
        <sz val="11"/>
        <color theme="1"/>
        <rFont val="宋体"/>
        <family val="3"/>
        <charset val="134"/>
      </rPr>
      <t>最小偏向角</t>
    </r>
    <r>
      <rPr>
        <sz val="11"/>
        <color theme="1"/>
        <rFont val="Times New Roman"/>
        <family val="1"/>
      </rPr>
      <t>δmin</t>
    </r>
    <phoneticPr fontId="1" type="noConversion"/>
  </si>
  <si>
    <r>
      <t>δmin</t>
    </r>
    <r>
      <rPr>
        <sz val="11"/>
        <color theme="1"/>
        <rFont val="宋体"/>
        <family val="3"/>
        <charset val="134"/>
      </rPr>
      <t>平均值</t>
    </r>
    <phoneticPr fontId="1" type="noConversion"/>
  </si>
  <si>
    <t>弧度制</t>
    <phoneticPr fontId="1" type="noConversion"/>
  </si>
  <si>
    <r>
      <t>δmin</t>
    </r>
    <r>
      <rPr>
        <sz val="11"/>
        <color theme="1"/>
        <rFont val="宋体"/>
        <family val="1"/>
        <charset val="134"/>
      </rPr>
      <t xml:space="preserve">平均值 </t>
    </r>
    <r>
      <rPr>
        <sz val="11"/>
        <color theme="1"/>
        <rFont val="Times New Roman"/>
        <family val="1"/>
      </rPr>
      <t>rad</t>
    </r>
    <phoneticPr fontId="1" type="noConversion"/>
  </si>
  <si>
    <t>δmin rad</t>
    <phoneticPr fontId="1" type="noConversion"/>
  </si>
  <si>
    <t>警告标记（0...正常）</t>
    <phoneticPr fontId="1" type="noConversion"/>
  </si>
  <si>
    <t>序号</t>
    <phoneticPr fontId="1" type="noConversion"/>
  </si>
  <si>
    <t>θ1</t>
    <phoneticPr fontId="1" type="noConversion"/>
  </si>
  <si>
    <t>θ1'</t>
    <phoneticPr fontId="1" type="noConversion"/>
  </si>
  <si>
    <r>
      <t>θ</t>
    </r>
    <r>
      <rPr>
        <sz val="11"/>
        <color theme="1"/>
        <rFont val="宋体"/>
        <family val="1"/>
        <charset val="134"/>
      </rPr>
      <t>2</t>
    </r>
    <phoneticPr fontId="1" type="noConversion"/>
  </si>
  <si>
    <r>
      <t>θ</t>
    </r>
    <r>
      <rPr>
        <sz val="11"/>
        <color theme="1"/>
        <rFont val="宋体"/>
        <family val="1"/>
        <charset val="134"/>
      </rPr>
      <t>2</t>
    </r>
    <r>
      <rPr>
        <sz val="11"/>
        <color theme="1"/>
        <rFont val="Times New Roman"/>
        <family val="1"/>
      </rPr>
      <t>'</t>
    </r>
    <phoneticPr fontId="1" type="noConversion"/>
  </si>
  <si>
    <t>对准反射像1时的游标示数</t>
    <phoneticPr fontId="1" type="noConversion"/>
  </si>
  <si>
    <t>对准反射像2时的游标示数</t>
  </si>
  <si>
    <t>A</t>
    <phoneticPr fontId="1" type="noConversion"/>
  </si>
  <si>
    <t>是否过零？
（是...1，否...0）</t>
    <phoneticPr fontId="1" type="noConversion"/>
  </si>
  <si>
    <t>θ1&amp;θ2</t>
    <phoneticPr fontId="1" type="noConversion"/>
  </si>
  <si>
    <r>
      <t>θ1</t>
    </r>
    <r>
      <rPr>
        <sz val="11"/>
        <color theme="1"/>
        <rFont val="宋体"/>
        <family val="1"/>
        <charset val="134"/>
      </rPr>
      <t>'</t>
    </r>
    <r>
      <rPr>
        <sz val="11"/>
        <color theme="1"/>
        <rFont val="Times New Roman"/>
        <family val="1"/>
      </rPr>
      <t>&amp;θ</t>
    </r>
    <r>
      <rPr>
        <sz val="11"/>
        <color theme="1"/>
        <rFont val="宋体"/>
        <family val="1"/>
        <charset val="134"/>
      </rPr>
      <t>2'</t>
    </r>
    <phoneticPr fontId="1" type="noConversion"/>
  </si>
  <si>
    <t>θ</t>
    <phoneticPr fontId="1" type="noConversion"/>
  </si>
  <si>
    <r>
      <t>1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</si>
  <si>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2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</si>
  <si>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r>
      <t>3</t>
    </r>
    <r>
      <rPr>
        <sz val="11"/>
        <color theme="1"/>
        <rFont val="宋体"/>
        <family val="3"/>
        <charset val="134"/>
      </rPr>
      <t>过零纠正</t>
    </r>
    <phoneticPr fontId="1" type="noConversion"/>
  </si>
  <si>
    <t>1,2→→</t>
    <phoneticPr fontId="1" type="noConversion"/>
  </si>
  <si>
    <t>1',2'→→</t>
  </si>
  <si>
    <t>1',2'→→</t>
    <phoneticPr fontId="1" type="noConversion"/>
  </si>
  <si>
    <t>警告标记
（0...正常）</t>
    <phoneticPr fontId="1" type="noConversion"/>
  </si>
  <si>
    <r>
      <t>θ</t>
    </r>
    <r>
      <rPr>
        <sz val="11"/>
        <color theme="1"/>
        <rFont val="宋体"/>
        <family val="3"/>
        <charset val="134"/>
      </rPr>
      <t xml:space="preserve"> 未改</t>
    </r>
    <phoneticPr fontId="1" type="noConversion"/>
  </si>
  <si>
    <t>A 未改</t>
    <phoneticPr fontId="1" type="noConversion"/>
  </si>
  <si>
    <t>Last Updated:</t>
  </si>
  <si>
    <r>
      <rPr>
        <sz val="11"/>
        <color theme="1"/>
        <rFont val="宋体"/>
        <family val="3"/>
        <charset val="134"/>
      </rPr>
      <t>是否过零？
是</t>
    </r>
    <r>
      <rPr>
        <sz val="11"/>
        <color theme="1"/>
        <rFont val="Times New Roman"/>
        <family val="1"/>
      </rPr>
      <t>...1</t>
    </r>
    <r>
      <rPr>
        <sz val="11"/>
        <color theme="1"/>
        <rFont val="宋体"/>
        <family val="3"/>
        <charset val="134"/>
      </rPr>
      <t>，否</t>
    </r>
    <r>
      <rPr>
        <sz val="11"/>
        <color theme="1"/>
        <rFont val="Times New Roman"/>
        <family val="1"/>
      </rPr>
      <t>...0</t>
    </r>
    <phoneticPr fontId="1" type="noConversion"/>
  </si>
  <si>
    <t>偏转最小时
折射像的位置</t>
    <phoneticPr fontId="1" type="noConversion"/>
  </si>
  <si>
    <t>注意抄录时仅保留整数。三表同。)</t>
    <phoneticPr fontId="1" type="noConversion"/>
  </si>
  <si>
    <t>(分的计算若直接四舍五入会出现进位错误的问题，</t>
    <phoneticPr fontId="1" type="noConversion"/>
  </si>
  <si>
    <t>故除完是整数或一位小数的直接显示，其他均保留两位小数。</t>
    <phoneticPr fontId="1" type="noConversion"/>
  </si>
  <si>
    <t>【说明】仅供参考，数据、进位等有误概不负责。未明确标注留多少位有效数字的自行判断。</t>
    <phoneticPr fontId="1" type="noConversion"/>
  </si>
  <si>
    <r>
      <t>θ</t>
    </r>
    <r>
      <rPr>
        <sz val="11"/>
        <color theme="1"/>
        <rFont val="宋体"/>
        <family val="3"/>
        <charset val="134"/>
      </rPr>
      <t>重算</t>
    </r>
    <phoneticPr fontId="1" type="noConversion"/>
  </si>
  <si>
    <r>
      <t>A</t>
    </r>
    <r>
      <rPr>
        <sz val="11"/>
        <color theme="1"/>
        <rFont val="宋体"/>
        <family val="3"/>
        <charset val="134"/>
      </rPr>
      <t>重算</t>
    </r>
    <phoneticPr fontId="1" type="noConversion"/>
  </si>
  <si>
    <r>
      <rPr>
        <sz val="11"/>
        <color theme="1"/>
        <rFont val="Times New Roma"/>
        <family val="1"/>
      </rPr>
      <t>θ</t>
    </r>
    <r>
      <rPr>
        <sz val="11"/>
        <color theme="1"/>
        <rFont val="宋体"/>
        <family val="3"/>
        <charset val="134"/>
      </rPr>
      <t>重算</t>
    </r>
    <r>
      <rPr>
        <sz val="11"/>
        <color theme="1"/>
        <rFont val="Times New Roma"/>
        <family val="1"/>
      </rPr>
      <t>rad</t>
    </r>
    <phoneticPr fontId="1" type="noConversion"/>
  </si>
  <si>
    <r>
      <rPr>
        <sz val="11"/>
        <color theme="1"/>
        <rFont val="宋体"/>
        <family val="1"/>
        <charset val="134"/>
      </rPr>
      <t>A</t>
    </r>
    <r>
      <rPr>
        <sz val="11"/>
        <color theme="1"/>
        <rFont val="宋体"/>
        <family val="3"/>
        <charset val="134"/>
      </rPr>
      <t>重算</t>
    </r>
    <r>
      <rPr>
        <sz val="11"/>
        <color theme="1"/>
        <rFont val="Times New Roma"/>
        <family val="1"/>
      </rPr>
      <t>rad</t>
    </r>
    <phoneticPr fontId="1" type="noConversion"/>
  </si>
  <si>
    <t>A平均值</t>
    <phoneticPr fontId="1" type="noConversion"/>
  </si>
  <si>
    <t>σ</t>
    <phoneticPr fontId="1" type="noConversion"/>
  </si>
  <si>
    <t>uA</t>
    <phoneticPr fontId="1" type="noConversion"/>
  </si>
  <si>
    <t>tp</t>
    <phoneticPr fontId="1" type="noConversion"/>
  </si>
  <si>
    <t>p=0.683, n=3</t>
    <phoneticPr fontId="1" type="noConversion"/>
  </si>
  <si>
    <t>UA</t>
    <phoneticPr fontId="1" type="noConversion"/>
  </si>
  <si>
    <t>uB(°)</t>
    <phoneticPr fontId="1" type="noConversion"/>
  </si>
  <si>
    <t>uB rad</t>
    <phoneticPr fontId="1" type="noConversion"/>
  </si>
  <si>
    <t>角度制</t>
    <phoneticPr fontId="1" type="noConversion"/>
  </si>
  <si>
    <t>合成不确定度</t>
    <phoneticPr fontId="1" type="noConversion"/>
  </si>
  <si>
    <t>不确定度</t>
    <phoneticPr fontId="1" type="noConversion"/>
  </si>
  <si>
    <t>不确定度重算</t>
    <phoneticPr fontId="1" type="noConversion"/>
  </si>
  <si>
    <t>不确定度重算rad</t>
    <phoneticPr fontId="1" type="noConversion"/>
  </si>
  <si>
    <t>AB面对准望远镜时</t>
    <phoneticPr fontId="1" type="noConversion"/>
  </si>
  <si>
    <t>AC面对准望远镜时</t>
    <phoneticPr fontId="1" type="noConversion"/>
  </si>
  <si>
    <t>度数rad</t>
    <phoneticPr fontId="1" type="noConversion"/>
  </si>
  <si>
    <t>A均值</t>
    <phoneticPr fontId="1" type="noConversion"/>
  </si>
  <si>
    <t>不确定度rad</t>
    <phoneticPr fontId="1" type="noConversion"/>
  </si>
  <si>
    <t>ur(n)</t>
    <phoneticPr fontId="1" type="noConversion"/>
  </si>
  <si>
    <t>()^2/2</t>
    <phoneticPr fontId="1" type="noConversion"/>
  </si>
  <si>
    <t>()^2/4</t>
    <phoneticPr fontId="1" type="noConversion"/>
  </si>
  <si>
    <t>p=0.683, n=5</t>
    <phoneticPr fontId="1" type="noConversion"/>
  </si>
  <si>
    <t>请勿动本表！！！</t>
    <phoneticPr fontId="1" type="noConversion"/>
  </si>
  <si>
    <t>(p=0.683)</t>
    <phoneticPr fontId="1" type="noConversion"/>
  </si>
  <si>
    <t>A度数 rad</t>
    <phoneticPr fontId="1" type="noConversion"/>
  </si>
  <si>
    <t>A不确定度 rad</t>
    <phoneticPr fontId="1" type="noConversion"/>
  </si>
  <si>
    <r>
      <rPr>
        <sz val="11"/>
        <color theme="1"/>
        <rFont val="Calibri"/>
        <family val="1"/>
        <charset val="161"/>
      </rPr>
      <t>δ</t>
    </r>
    <r>
      <rPr>
        <sz val="11"/>
        <color theme="1"/>
        <rFont val="Times New Roma"/>
        <family val="1"/>
        <charset val="134"/>
      </rPr>
      <t>min重算</t>
    </r>
    <phoneticPr fontId="1" type="noConversion"/>
  </si>
  <si>
    <r>
      <rPr>
        <sz val="11"/>
        <color theme="1"/>
        <rFont val="Times New Roman"/>
        <family val="1"/>
      </rPr>
      <t>δmin</t>
    </r>
    <r>
      <rPr>
        <sz val="11"/>
        <color theme="1"/>
        <rFont val="宋体"/>
        <family val="3"/>
        <charset val="134"/>
      </rPr>
      <t>平均值</t>
    </r>
    <r>
      <rPr>
        <sz val="11"/>
        <color theme="1"/>
        <rFont val="Times New Roman"/>
        <family val="1"/>
      </rPr>
      <t>rad</t>
    </r>
    <phoneticPr fontId="1" type="noConversion"/>
  </si>
  <si>
    <t>uA δmin</t>
    <phoneticPr fontId="1" type="noConversion"/>
  </si>
  <si>
    <t>UA δmin</t>
    <phoneticPr fontId="1" type="noConversion"/>
  </si>
  <si>
    <t>三棱镜顶角度数rad</t>
    <phoneticPr fontId="1" type="noConversion"/>
  </si>
  <si>
    <t>三棱镜顶角不确定度rad</t>
    <phoneticPr fontId="1" type="noConversion"/>
  </si>
  <si>
    <r>
      <t>A</t>
    </r>
    <r>
      <rPr>
        <sz val="11"/>
        <color theme="1"/>
        <rFont val="宋体"/>
        <family val="3"/>
        <charset val="134"/>
      </rPr>
      <t>角度制均值</t>
    </r>
    <phoneticPr fontId="1" type="noConversion"/>
  </si>
  <si>
    <t>A原平均角度</t>
    <phoneticPr fontId="1" type="noConversion"/>
  </si>
  <si>
    <t>A原平均rad</t>
    <phoneticPr fontId="1" type="noConversion"/>
  </si>
  <si>
    <r>
      <rPr>
        <b/>
        <sz val="14"/>
        <color theme="1"/>
        <rFont val="宋体"/>
        <family val="3"/>
        <charset val="134"/>
      </rPr>
      <t>折射率采取A的不确定度计算方法</t>
    </r>
    <r>
      <rPr>
        <sz val="12"/>
        <color theme="1"/>
        <rFont val="宋体"/>
        <family val="3"/>
        <charset val="134"/>
      </rPr>
      <t xml:space="preserve">
1...默认值, 2...自准法, 3...反射法</t>
    </r>
    <phoneticPr fontId="1" type="noConversion"/>
  </si>
  <si>
    <t>平均</t>
    <phoneticPr fontId="1" type="noConversion"/>
  </si>
  <si>
    <t>【操作方法】自行输入蓝底部分数据即可，全自动计算，其余部分不用动。</t>
    <phoneticPr fontId="1" type="noConversion"/>
  </si>
  <si>
    <t>若用自行计算后的数据请直接删除对应位原公式改为计算值，折射率/不确定度会对应更改。</t>
    <phoneticPr fontId="1" type="noConversion"/>
  </si>
  <si>
    <t>折射率n</t>
    <phoneticPr fontId="1" type="noConversion"/>
  </si>
  <si>
    <t>n不确定度</t>
    <phoneticPr fontId="1" type="noConversion"/>
  </si>
  <si>
    <r>
      <t>δmin</t>
    </r>
    <r>
      <rPr>
        <sz val="11"/>
        <color theme="1"/>
        <rFont val="宋体"/>
        <family val="1"/>
        <charset val="134"/>
      </rPr>
      <t>不确定度</t>
    </r>
    <phoneticPr fontId="1" type="noConversion"/>
  </si>
  <si>
    <r>
      <t xml:space="preserve">有时会出现1分60秒的情况，写到纸上时请自行修正！！！
</t>
    </r>
    <r>
      <rPr>
        <sz val="16"/>
        <color rgb="FFFF0000"/>
        <rFont val="宋体"/>
        <family val="3"/>
        <charset val="134"/>
      </rPr>
      <t>（表格示数无需修改，计算时会自动更正）</t>
    </r>
    <phoneticPr fontId="1" type="noConversion"/>
  </si>
  <si>
    <t>选择2或3必须先填选做表格,
再看必做n的不确定度！</t>
    <phoneticPr fontId="1" type="noConversion"/>
  </si>
  <si>
    <t>rad</t>
    <phoneticPr fontId="1" type="noConversion"/>
  </si>
  <si>
    <t>U(n)</t>
    <phoneticPr fontId="1" type="noConversion"/>
  </si>
  <si>
    <t>"</t>
    <phoneticPr fontId="1" type="noConversion"/>
  </si>
  <si>
    <t>请自行判断位数</t>
    <phoneticPr fontId="1" type="noConversion"/>
  </si>
  <si>
    <t>做必做实验计算时不确定度和均值请自行输入，以免小数位数出问题</t>
    <phoneticPr fontId="1" type="noConversion"/>
  </si>
  <si>
    <t>制作：</t>
    <phoneticPr fontId="1" type="noConversion"/>
  </si>
  <si>
    <t>机械学院 24级 momooo</t>
    <phoneticPr fontId="26" type="noConversion"/>
  </si>
  <si>
    <r>
      <t>δ</t>
    </r>
    <r>
      <rPr>
        <sz val="11"/>
        <color theme="1"/>
        <rFont val="宋体"/>
        <family val="3"/>
        <charset val="134"/>
      </rPr>
      <t>不确定度</t>
    </r>
    <r>
      <rPr>
        <sz val="11"/>
        <color theme="1"/>
        <rFont val="Times New Roman"/>
        <family val="1"/>
      </rPr>
      <t>rad re</t>
    </r>
    <phoneticPr fontId="1" type="noConversion"/>
  </si>
  <si>
    <t>v0.3</t>
    <phoneticPr fontId="1" type="noConversion"/>
  </si>
  <si>
    <t>2025.3.25  9:13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</si>
</sst>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E+00"/>
    <numFmt numFmtId="177" formatCode="0.000000000000000"/>
    <numFmt numFmtId="178" formatCode="0.0000000000000000"/>
  </numFmts>
  <fonts count="27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3"/>
      <charset val="161"/>
    </font>
    <font>
      <b/>
      <sz val="11"/>
      <color rgb="FFFF0000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4"/>
      <color rgb="FFFF0000"/>
      <name val="宋体"/>
      <family val="3"/>
      <charset val="134"/>
    </font>
    <font>
      <sz val="11"/>
      <color theme="1"/>
      <name val="Times New Roman"/>
      <family val="1"/>
    </font>
    <font>
      <sz val="11"/>
      <color theme="1"/>
      <name val="宋体"/>
      <family val="1"/>
      <charset val="134"/>
    </font>
    <font>
      <b/>
      <sz val="12"/>
      <color rgb="FFFF0000"/>
      <name val="Times New Roman"/>
      <family val="1"/>
    </font>
    <font>
      <sz val="11"/>
      <color theme="1"/>
      <name val="Times New Roman"/>
      <family val="3"/>
      <charset val="134"/>
    </font>
    <font>
      <sz val="10"/>
      <color theme="1"/>
      <name val="宋体"/>
      <family val="3"/>
      <charset val="134"/>
    </font>
    <font>
      <sz val="11"/>
      <color theme="1"/>
      <name val="Times New Roman"/>
      <family val="3"/>
      <charset val="161"/>
    </font>
    <font>
      <b/>
      <sz val="11"/>
      <color theme="1"/>
      <name val="宋体"/>
      <family val="3"/>
      <charset val="134"/>
    </font>
    <font>
      <sz val="12"/>
      <color theme="1"/>
      <name val="宋体"/>
      <family val="3"/>
      <charset val="134"/>
    </font>
    <font>
      <sz val="24"/>
      <color theme="1"/>
      <name val="宋体"/>
      <family val="3"/>
      <charset val="134"/>
    </font>
    <font>
      <b/>
      <sz val="14"/>
      <color theme="1"/>
      <name val="宋体"/>
      <family val="3"/>
      <charset val="134"/>
    </font>
    <font>
      <sz val="11"/>
      <color theme="1"/>
      <name val="Times New Roma"/>
    </font>
    <font>
      <sz val="11"/>
      <color theme="1"/>
      <name val="Times New Roma"/>
      <family val="1"/>
    </font>
    <font>
      <sz val="11"/>
      <color theme="1"/>
      <name val="Times New Roma"/>
      <family val="1"/>
      <charset val="134"/>
    </font>
    <font>
      <sz val="26"/>
      <color rgb="FFFF0000"/>
      <name val="宋体"/>
      <family val="3"/>
      <charset val="134"/>
    </font>
    <font>
      <sz val="11"/>
      <color rgb="FFFF0000"/>
      <name val="宋体"/>
      <family val="3"/>
      <charset val="134"/>
    </font>
    <font>
      <sz val="11"/>
      <color theme="1"/>
      <name val="Calibri"/>
      <family val="1"/>
      <charset val="161"/>
    </font>
    <font>
      <sz val="11"/>
      <color theme="1"/>
      <name val="Times New Roma"/>
      <family val="1"/>
      <charset val="161"/>
    </font>
    <font>
      <b/>
      <u/>
      <sz val="16"/>
      <color rgb="FFFF0000"/>
      <name val="宋体"/>
      <family val="3"/>
      <charset val="134"/>
    </font>
    <font>
      <sz val="16"/>
      <color rgb="FFFF0000"/>
      <name val="宋体"/>
      <family val="3"/>
      <charset val="134"/>
    </font>
    <font>
      <sz val="9"/>
      <name val="宋体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0">
    <xf numFmtId="0" fontId="0" fillId="0" borderId="0" xfId="0"/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right" vertical="center"/>
    </xf>
    <xf numFmtId="0" fontId="7" fillId="0" borderId="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7" fillId="0" borderId="3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5" xfId="0" applyFont="1" applyFill="1" applyBorder="1" applyAlignment="1">
      <alignment vertical="center"/>
    </xf>
    <xf numFmtId="0" fontId="7" fillId="4" borderId="9" xfId="0" applyFont="1" applyFill="1" applyBorder="1" applyAlignment="1">
      <alignment vertical="center"/>
    </xf>
    <xf numFmtId="0" fontId="7" fillId="4" borderId="6" xfId="0" applyFont="1" applyFill="1" applyBorder="1" applyAlignment="1">
      <alignment vertical="center"/>
    </xf>
    <xf numFmtId="0" fontId="2" fillId="4" borderId="3" xfId="0" applyFont="1" applyFill="1" applyBorder="1" applyAlignment="1">
      <alignment horizontal="right" vertical="center"/>
    </xf>
    <xf numFmtId="0" fontId="7" fillId="4" borderId="3" xfId="0" applyFont="1" applyFill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4" borderId="9" xfId="0" applyFont="1" applyFill="1" applyBorder="1" applyAlignment="1">
      <alignment vertical="center"/>
    </xf>
    <xf numFmtId="0" fontId="2" fillId="4" borderId="3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19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10" fillId="0" borderId="0" xfId="0" applyFont="1" applyAlignment="1">
      <alignment horizontal="center" vertical="center"/>
    </xf>
    <xf numFmtId="177" fontId="2" fillId="0" borderId="0" xfId="0" applyNumberFormat="1" applyFont="1" applyAlignment="1">
      <alignment vertical="center"/>
    </xf>
    <xf numFmtId="0" fontId="7" fillId="0" borderId="0" xfId="0" applyFont="1" applyAlignment="1">
      <alignment vertical="center"/>
    </xf>
    <xf numFmtId="176" fontId="2" fillId="0" borderId="0" xfId="0" applyNumberFormat="1" applyFont="1" applyAlignment="1">
      <alignment vertical="center"/>
    </xf>
    <xf numFmtId="0" fontId="2" fillId="4" borderId="2" xfId="0" applyFont="1" applyFill="1" applyBorder="1" applyAlignment="1">
      <alignment vertical="center"/>
    </xf>
    <xf numFmtId="0" fontId="2" fillId="0" borderId="12" xfId="0" applyFont="1" applyBorder="1" applyAlignment="1">
      <alignment horizontal="center" vertical="center"/>
    </xf>
    <xf numFmtId="0" fontId="2" fillId="0" borderId="0" xfId="0" applyFont="1"/>
    <xf numFmtId="177" fontId="2" fillId="0" borderId="0" xfId="0" applyNumberFormat="1" applyFont="1"/>
    <xf numFmtId="178" fontId="2" fillId="0" borderId="0" xfId="0" applyNumberFormat="1" applyFont="1"/>
    <xf numFmtId="0" fontId="20" fillId="2" borderId="2" xfId="0" applyFont="1" applyFill="1" applyBorder="1"/>
    <xf numFmtId="0" fontId="21" fillId="2" borderId="4" xfId="0" applyFont="1" applyFill="1" applyBorder="1"/>
    <xf numFmtId="0" fontId="2" fillId="4" borderId="1" xfId="0" applyFont="1" applyFill="1" applyBorder="1" applyAlignment="1">
      <alignment horizontal="right" vertical="center"/>
    </xf>
    <xf numFmtId="0" fontId="2" fillId="4" borderId="0" xfId="0" applyFont="1" applyFill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8" fillId="0" borderId="1" xfId="0" applyFont="1" applyBorder="1" applyAlignment="1">
      <alignment vertical="center"/>
    </xf>
    <xf numFmtId="0" fontId="12" fillId="0" borderId="0" xfId="0" applyFont="1" applyAlignment="1">
      <alignment horizontal="right" vertical="center"/>
    </xf>
    <xf numFmtId="0" fontId="2" fillId="4" borderId="13" xfId="0" applyFont="1" applyFill="1" applyBorder="1" applyAlignment="1">
      <alignment horizontal="right" vertical="center"/>
    </xf>
    <xf numFmtId="0" fontId="2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7" fillId="4" borderId="4" xfId="0" applyFont="1" applyFill="1" applyBorder="1" applyAlignment="1">
      <alignment vertical="center"/>
    </xf>
    <xf numFmtId="0" fontId="8" fillId="4" borderId="4" xfId="0" applyFont="1" applyFill="1" applyBorder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9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19" fillId="0" borderId="2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9" fillId="0" borderId="4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 wrapText="1"/>
    </xf>
    <xf numFmtId="0" fontId="24" fillId="2" borderId="9" xfId="0" applyFont="1" applyFill="1" applyBorder="1" applyAlignment="1">
      <alignment horizontal="center" vertical="center" wrapText="1"/>
    </xf>
    <xf numFmtId="0" fontId="24" fillId="2" borderId="6" xfId="0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center" vertical="center" wrapText="1"/>
    </xf>
    <xf numFmtId="0" fontId="24" fillId="2" borderId="10" xfId="0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center" vertical="center" wrapText="1"/>
    </xf>
    <xf numFmtId="0" fontId="24" fillId="2" borderId="14" xfId="0" applyFont="1" applyFill="1" applyBorder="1" applyAlignment="1">
      <alignment horizontal="center" vertical="center" wrapText="1"/>
    </xf>
    <xf numFmtId="0" fontId="24" fillId="2" borderId="7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5" fillId="3" borderId="12" xfId="0" applyFont="1" applyFill="1" applyBorder="1" applyAlignment="1">
      <alignment horizontal="center" vertical="center" wrapText="1"/>
    </xf>
    <xf numFmtId="0" fontId="15" fillId="3" borderId="15" xfId="0" applyFont="1" applyFill="1" applyBorder="1" applyAlignment="1">
      <alignment horizontal="center" vertical="center" wrapText="1"/>
    </xf>
    <xf numFmtId="0" fontId="15" fillId="3" borderId="13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 wrapText="1"/>
    </xf>
    <xf numFmtId="0" fontId="14" fillId="0" borderId="9" xfId="0" applyFont="1" applyBorder="1" applyAlignment="1">
      <alignment horizontal="center" vertical="center" wrapText="1"/>
    </xf>
    <xf numFmtId="0" fontId="14" fillId="0" borderId="6" xfId="0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14" fillId="0" borderId="10" xfId="0" applyFont="1" applyBorder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0" fontId="14" fillId="0" borderId="7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/>
    </xf>
    <xf numFmtId="0" fontId="2" fillId="4" borderId="2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3" fillId="0" borderId="4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0" fontId="11" fillId="0" borderId="13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 wrapText="1"/>
    </xf>
    <xf numFmtId="0" fontId="11" fillId="0" borderId="6" xfId="0" applyFont="1" applyBorder="1" applyAlignment="1">
      <alignment horizontal="center" vertical="center" wrapText="1"/>
    </xf>
    <xf numFmtId="0" fontId="11" fillId="0" borderId="8" xfId="0" applyFont="1" applyBorder="1" applyAlignment="1">
      <alignment horizontal="center" vertical="center" wrapText="1"/>
    </xf>
    <xf numFmtId="0" fontId="11" fillId="0" borderId="7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12" fillId="0" borderId="13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5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7" fillId="0" borderId="4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</cellXfs>
  <cellStyles count="1">
    <cellStyle name="常规" xfId="0" builtinId="0"/>
  </cellStyles>
  <dxfs count="9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4"/>
  <sheetViews>
    <sheetView tabSelected="1" zoomScaleNormal="100" workbookViewId="0"/>
  </sheetViews>
  <sheetFormatPr defaultRowHeight="14.4"/>
  <cols>
    <col min="1" max="1" width="16.109375" style="1" customWidth="1"/>
    <col min="2" max="2" width="16.44140625" style="1" customWidth="1"/>
    <col min="3" max="3" width="4.21875" style="1" customWidth="1"/>
    <col min="4" max="4" width="2.109375" style="1" customWidth="1"/>
    <col min="5" max="5" width="6.5546875" style="1" bestFit="1" customWidth="1"/>
    <col min="6" max="6" width="2.21875" style="1" customWidth="1"/>
    <col min="7" max="7" width="4.21875" style="1" customWidth="1"/>
    <col min="8" max="8" width="2.109375" style="1" customWidth="1"/>
    <col min="9" max="9" width="6.5546875" style="1" customWidth="1"/>
    <col min="10" max="10" width="2.21875" style="1" customWidth="1"/>
    <col min="11" max="11" width="4.21875" style="1" customWidth="1"/>
    <col min="12" max="12" width="2.109375" style="1" customWidth="1"/>
    <col min="13" max="13" width="6.88671875" style="1" customWidth="1"/>
    <col min="14" max="14" width="2.21875" style="1" customWidth="1"/>
    <col min="15" max="15" width="4.21875" style="1" customWidth="1"/>
    <col min="16" max="16" width="2.109375" style="1" customWidth="1"/>
    <col min="17" max="17" width="6.5546875" style="1" customWidth="1"/>
    <col min="18" max="18" width="2.21875" style="1" customWidth="1"/>
    <col min="19" max="19" width="4.21875" style="1" customWidth="1"/>
    <col min="20" max="20" width="2.109375" style="1" customWidth="1"/>
    <col min="21" max="21" width="6.5546875" style="1" customWidth="1"/>
    <col min="22" max="22" width="2.21875" style="1" customWidth="1"/>
    <col min="23" max="23" width="5.88671875" style="7" customWidth="1"/>
    <col min="24" max="28" width="8.88671875" style="7"/>
    <col min="29" max="30" width="9.77734375" style="7" customWidth="1"/>
    <col min="31" max="31" width="6.5546875" style="7" customWidth="1"/>
    <col min="32" max="32" width="6.21875" style="7" customWidth="1"/>
    <col min="33" max="33" width="7" style="7" customWidth="1"/>
    <col min="34" max="34" width="6.77734375" style="7" customWidth="1"/>
    <col min="35" max="42" width="8.88671875" style="7"/>
    <col min="43" max="16384" width="8.88671875" style="1"/>
  </cols>
  <sheetData>
    <row r="1" spans="1:34">
      <c r="A1" s="22" t="s">
        <v>108</v>
      </c>
    </row>
    <row r="2" spans="1:34" ht="22.8" customHeight="1">
      <c r="A2" s="57" t="s">
        <v>4</v>
      </c>
      <c r="B2" s="57"/>
      <c r="C2" s="59">
        <v>1</v>
      </c>
      <c r="D2" s="60"/>
      <c r="E2" s="60"/>
      <c r="F2" s="61"/>
      <c r="G2" s="59">
        <v>2</v>
      </c>
      <c r="H2" s="60"/>
      <c r="I2" s="60"/>
      <c r="J2" s="61"/>
      <c r="K2" s="59">
        <v>3</v>
      </c>
      <c r="L2" s="60"/>
      <c r="M2" s="60"/>
      <c r="N2" s="61"/>
      <c r="O2" s="59">
        <v>4</v>
      </c>
      <c r="P2" s="60"/>
      <c r="Q2" s="60"/>
      <c r="R2" s="61"/>
      <c r="S2" s="59">
        <v>5</v>
      </c>
      <c r="T2" s="60"/>
      <c r="U2" s="60"/>
      <c r="V2" s="61"/>
    </row>
    <row r="3" spans="1:34" ht="15.6">
      <c r="A3" s="58" t="s">
        <v>5</v>
      </c>
      <c r="B3" s="58"/>
      <c r="C3" s="62" t="s">
        <v>0</v>
      </c>
      <c r="D3" s="61"/>
      <c r="E3" s="59" t="s">
        <v>1</v>
      </c>
      <c r="F3" s="61"/>
      <c r="G3" s="59" t="s">
        <v>0</v>
      </c>
      <c r="H3" s="61"/>
      <c r="I3" s="59" t="s">
        <v>1</v>
      </c>
      <c r="J3" s="61"/>
      <c r="K3" s="59" t="s">
        <v>0</v>
      </c>
      <c r="L3" s="61"/>
      <c r="M3" s="59" t="s">
        <v>1</v>
      </c>
      <c r="N3" s="61"/>
      <c r="O3" s="59" t="s">
        <v>0</v>
      </c>
      <c r="P3" s="61"/>
      <c r="Q3" s="59" t="s">
        <v>1</v>
      </c>
      <c r="R3" s="61"/>
      <c r="S3" s="59" t="s">
        <v>0</v>
      </c>
      <c r="T3" s="61"/>
      <c r="U3" s="59" t="s">
        <v>1</v>
      </c>
      <c r="V3" s="61"/>
      <c r="X3" s="25" t="s">
        <v>51</v>
      </c>
    </row>
    <row r="4" spans="1:34" ht="14.4" customHeight="1">
      <c r="A4" s="70" t="s">
        <v>6</v>
      </c>
      <c r="B4" s="13" t="s">
        <v>7</v>
      </c>
      <c r="C4" s="10">
        <v>306</v>
      </c>
      <c r="D4" s="8" t="s">
        <v>2</v>
      </c>
      <c r="E4" s="11">
        <v>35</v>
      </c>
      <c r="F4" s="6" t="s">
        <v>3</v>
      </c>
      <c r="G4" s="11">
        <v>53</v>
      </c>
      <c r="H4" s="8" t="s">
        <v>2</v>
      </c>
      <c r="I4" s="11">
        <v>32</v>
      </c>
      <c r="J4" s="6" t="s">
        <v>3</v>
      </c>
      <c r="K4" s="11">
        <v>306</v>
      </c>
      <c r="L4" s="8" t="s">
        <v>2</v>
      </c>
      <c r="M4" s="11">
        <v>36</v>
      </c>
      <c r="N4" s="6" t="s">
        <v>3</v>
      </c>
      <c r="O4" s="11">
        <v>53</v>
      </c>
      <c r="P4" s="8" t="s">
        <v>2</v>
      </c>
      <c r="Q4" s="11">
        <v>31</v>
      </c>
      <c r="R4" s="6" t="s">
        <v>3</v>
      </c>
      <c r="S4" s="11">
        <v>306</v>
      </c>
      <c r="T4" s="8" t="s">
        <v>2</v>
      </c>
      <c r="U4" s="11">
        <v>37</v>
      </c>
      <c r="V4" s="6" t="s">
        <v>3</v>
      </c>
      <c r="X4" s="7" t="s">
        <v>93</v>
      </c>
    </row>
    <row r="5" spans="1:34" ht="14.4" customHeight="1">
      <c r="A5" s="70"/>
      <c r="B5" s="13" t="s">
        <v>8</v>
      </c>
      <c r="C5" s="10">
        <v>126</v>
      </c>
      <c r="D5" s="8" t="s">
        <v>2</v>
      </c>
      <c r="E5" s="11">
        <v>33</v>
      </c>
      <c r="F5" s="6" t="s">
        <v>3</v>
      </c>
      <c r="G5" s="11">
        <v>233</v>
      </c>
      <c r="H5" s="8" t="s">
        <v>2</v>
      </c>
      <c r="I5" s="11">
        <v>34</v>
      </c>
      <c r="J5" s="6" t="s">
        <v>3</v>
      </c>
      <c r="K5" s="11">
        <v>126</v>
      </c>
      <c r="L5" s="8" t="s">
        <v>2</v>
      </c>
      <c r="M5" s="11">
        <v>31</v>
      </c>
      <c r="N5" s="6" t="s">
        <v>3</v>
      </c>
      <c r="O5" s="11">
        <v>233</v>
      </c>
      <c r="P5" s="8" t="s">
        <v>2</v>
      </c>
      <c r="Q5" s="11">
        <v>33</v>
      </c>
      <c r="R5" s="6" t="s">
        <v>3</v>
      </c>
      <c r="S5" s="11">
        <v>126</v>
      </c>
      <c r="T5" s="8" t="s">
        <v>2</v>
      </c>
      <c r="U5" s="11">
        <v>32</v>
      </c>
      <c r="V5" s="6" t="s">
        <v>3</v>
      </c>
      <c r="X5" s="22" t="s">
        <v>49</v>
      </c>
    </row>
    <row r="6" spans="1:34" ht="14.4" customHeight="1">
      <c r="A6" s="71" t="s">
        <v>47</v>
      </c>
      <c r="B6" s="13" t="s">
        <v>9</v>
      </c>
      <c r="C6" s="10">
        <v>0</v>
      </c>
      <c r="D6" s="8" t="s">
        <v>2</v>
      </c>
      <c r="E6" s="11">
        <v>2</v>
      </c>
      <c r="F6" s="6" t="s">
        <v>3</v>
      </c>
      <c r="G6" s="11">
        <v>0</v>
      </c>
      <c r="H6" s="8" t="s">
        <v>2</v>
      </c>
      <c r="I6" s="11">
        <v>2</v>
      </c>
      <c r="J6" s="6" t="s">
        <v>3</v>
      </c>
      <c r="K6" s="11">
        <v>0</v>
      </c>
      <c r="L6" s="8" t="s">
        <v>2</v>
      </c>
      <c r="M6" s="11">
        <v>2</v>
      </c>
      <c r="N6" s="6" t="s">
        <v>3</v>
      </c>
      <c r="O6" s="11">
        <v>0</v>
      </c>
      <c r="P6" s="8" t="s">
        <v>2</v>
      </c>
      <c r="Q6" s="11">
        <v>3</v>
      </c>
      <c r="R6" s="6" t="s">
        <v>3</v>
      </c>
      <c r="S6" s="11">
        <v>0</v>
      </c>
      <c r="T6" s="8" t="s">
        <v>2</v>
      </c>
      <c r="U6" s="11">
        <v>2</v>
      </c>
      <c r="V6" s="6" t="s">
        <v>3</v>
      </c>
      <c r="X6" s="7" t="s">
        <v>50</v>
      </c>
    </row>
    <row r="7" spans="1:34" ht="14.4" customHeight="1">
      <c r="A7" s="70"/>
      <c r="B7" s="13" t="s">
        <v>10</v>
      </c>
      <c r="C7" s="10">
        <v>180</v>
      </c>
      <c r="D7" s="8" t="s">
        <v>2</v>
      </c>
      <c r="E7" s="11">
        <v>3</v>
      </c>
      <c r="F7" s="6" t="s">
        <v>3</v>
      </c>
      <c r="G7" s="11">
        <v>180</v>
      </c>
      <c r="H7" s="8" t="s">
        <v>2</v>
      </c>
      <c r="I7" s="11">
        <v>2</v>
      </c>
      <c r="J7" s="6" t="s">
        <v>3</v>
      </c>
      <c r="K7" s="11">
        <v>180</v>
      </c>
      <c r="L7" s="8" t="s">
        <v>2</v>
      </c>
      <c r="M7" s="11">
        <v>3</v>
      </c>
      <c r="N7" s="6" t="s">
        <v>3</v>
      </c>
      <c r="O7" s="11">
        <v>180</v>
      </c>
      <c r="P7" s="8" t="s">
        <v>2</v>
      </c>
      <c r="Q7" s="11">
        <v>2</v>
      </c>
      <c r="R7" s="6" t="s">
        <v>3</v>
      </c>
      <c r="S7" s="11">
        <v>180</v>
      </c>
      <c r="T7" s="8" t="s">
        <v>2</v>
      </c>
      <c r="U7" s="11">
        <v>2</v>
      </c>
      <c r="V7" s="6" t="s">
        <v>3</v>
      </c>
      <c r="X7" s="7" t="s">
        <v>48</v>
      </c>
    </row>
    <row r="8" spans="1:34" ht="14.4" customHeight="1">
      <c r="A8" s="72" t="s">
        <v>46</v>
      </c>
      <c r="B8" s="12" t="s">
        <v>11</v>
      </c>
      <c r="C8" s="63">
        <v>1</v>
      </c>
      <c r="D8" s="63"/>
      <c r="E8" s="63"/>
      <c r="F8" s="63"/>
      <c r="G8" s="63">
        <v>0</v>
      </c>
      <c r="H8" s="63"/>
      <c r="I8" s="63"/>
      <c r="J8" s="63"/>
      <c r="K8" s="63">
        <v>1</v>
      </c>
      <c r="L8" s="63"/>
      <c r="M8" s="63"/>
      <c r="N8" s="63"/>
      <c r="O8" s="63">
        <v>0</v>
      </c>
      <c r="P8" s="63"/>
      <c r="Q8" s="63"/>
      <c r="R8" s="63"/>
      <c r="S8" s="63">
        <v>1</v>
      </c>
      <c r="T8" s="63"/>
      <c r="U8" s="63"/>
      <c r="V8" s="63"/>
      <c r="X8" s="25"/>
    </row>
    <row r="9" spans="1:34" ht="14.4" customHeight="1">
      <c r="A9" s="70"/>
      <c r="B9" s="12" t="s">
        <v>12</v>
      </c>
      <c r="C9" s="63">
        <v>0</v>
      </c>
      <c r="D9" s="63"/>
      <c r="E9" s="63"/>
      <c r="F9" s="63"/>
      <c r="G9" s="63">
        <v>0</v>
      </c>
      <c r="H9" s="63"/>
      <c r="I9" s="63"/>
      <c r="J9" s="63"/>
      <c r="K9" s="63">
        <v>0</v>
      </c>
      <c r="L9" s="63"/>
      <c r="M9" s="63"/>
      <c r="N9" s="63"/>
      <c r="O9" s="63">
        <v>0</v>
      </c>
      <c r="P9" s="63"/>
      <c r="Q9" s="63"/>
      <c r="R9" s="63"/>
      <c r="S9" s="63">
        <v>0</v>
      </c>
      <c r="T9" s="63"/>
      <c r="U9" s="63"/>
      <c r="V9" s="63"/>
      <c r="X9" s="26" t="s">
        <v>94</v>
      </c>
    </row>
    <row r="10" spans="1:34" ht="14.4" customHeight="1">
      <c r="A10" s="14" t="s">
        <v>13</v>
      </c>
      <c r="B10" s="15" t="s">
        <v>7</v>
      </c>
      <c r="C10" s="64">
        <f>C4+E4/60</f>
        <v>306.58333333333331</v>
      </c>
      <c r="D10" s="65"/>
      <c r="E10" s="65"/>
      <c r="F10" s="66"/>
      <c r="G10" s="64">
        <f>G4+I4/60</f>
        <v>53.533333333333331</v>
      </c>
      <c r="H10" s="65"/>
      <c r="I10" s="65"/>
      <c r="J10" s="66"/>
      <c r="K10" s="64">
        <f>K4+M4/60</f>
        <v>306.60000000000002</v>
      </c>
      <c r="L10" s="65"/>
      <c r="M10" s="65"/>
      <c r="N10" s="66"/>
      <c r="O10" s="64">
        <f>O4+Q4/60</f>
        <v>53.516666666666666</v>
      </c>
      <c r="P10" s="65"/>
      <c r="Q10" s="65"/>
      <c r="R10" s="66"/>
      <c r="S10" s="64">
        <f>S4+U4/60</f>
        <v>306.61666666666667</v>
      </c>
      <c r="T10" s="65"/>
      <c r="U10" s="65"/>
      <c r="V10" s="66"/>
    </row>
    <row r="11" spans="1:34" ht="14.4" customHeight="1">
      <c r="A11" s="30" t="s">
        <v>14</v>
      </c>
      <c r="B11" s="12" t="s">
        <v>8</v>
      </c>
      <c r="C11" s="59">
        <f t="shared" ref="C11:C13" si="0">C5+E5/60</f>
        <v>126.55</v>
      </c>
      <c r="D11" s="60"/>
      <c r="E11" s="60"/>
      <c r="F11" s="61"/>
      <c r="G11" s="59">
        <f t="shared" ref="G11:G13" si="1">G5+I5/60</f>
        <v>233.56666666666666</v>
      </c>
      <c r="H11" s="60"/>
      <c r="I11" s="60"/>
      <c r="J11" s="61"/>
      <c r="K11" s="59">
        <f t="shared" ref="K11:K13" si="2">K5+M5/60</f>
        <v>126.51666666666667</v>
      </c>
      <c r="L11" s="60"/>
      <c r="M11" s="60"/>
      <c r="N11" s="61"/>
      <c r="O11" s="59">
        <f t="shared" ref="O11:O13" si="3">O5+Q5/60</f>
        <v>233.55</v>
      </c>
      <c r="P11" s="60"/>
      <c r="Q11" s="60"/>
      <c r="R11" s="61"/>
      <c r="S11" s="59">
        <f t="shared" ref="S11:S13" si="4">S5+U5/60</f>
        <v>126.53333333333333</v>
      </c>
      <c r="T11" s="60"/>
      <c r="U11" s="60"/>
      <c r="V11" s="61"/>
      <c r="X11" s="87" t="s">
        <v>91</v>
      </c>
      <c r="Y11" s="88"/>
      <c r="Z11" s="88"/>
      <c r="AA11" s="88"/>
      <c r="AB11" s="89"/>
      <c r="AC11" s="83">
        <v>2</v>
      </c>
      <c r="AD11" s="82" t="s">
        <v>99</v>
      </c>
      <c r="AE11" s="82"/>
      <c r="AF11" s="82"/>
      <c r="AG11" s="82"/>
      <c r="AH11" s="82"/>
    </row>
    <row r="12" spans="1:34" ht="14.4" customHeight="1">
      <c r="A12" s="14"/>
      <c r="B12" s="12" t="s">
        <v>9</v>
      </c>
      <c r="C12" s="59">
        <f t="shared" si="0"/>
        <v>3.3333333333333333E-2</v>
      </c>
      <c r="D12" s="60"/>
      <c r="E12" s="60"/>
      <c r="F12" s="61"/>
      <c r="G12" s="59">
        <f t="shared" si="1"/>
        <v>3.3333333333333333E-2</v>
      </c>
      <c r="H12" s="60"/>
      <c r="I12" s="60"/>
      <c r="J12" s="61"/>
      <c r="K12" s="59">
        <f t="shared" si="2"/>
        <v>3.3333333333333333E-2</v>
      </c>
      <c r="L12" s="60"/>
      <c r="M12" s="60"/>
      <c r="N12" s="61"/>
      <c r="O12" s="59">
        <f t="shared" si="3"/>
        <v>0.05</v>
      </c>
      <c r="P12" s="60"/>
      <c r="Q12" s="60"/>
      <c r="R12" s="61"/>
      <c r="S12" s="59">
        <f t="shared" si="4"/>
        <v>3.3333333333333333E-2</v>
      </c>
      <c r="T12" s="60"/>
      <c r="U12" s="60"/>
      <c r="V12" s="61"/>
      <c r="X12" s="90"/>
      <c r="Y12" s="91"/>
      <c r="Z12" s="91"/>
      <c r="AA12" s="91"/>
      <c r="AB12" s="92"/>
      <c r="AC12" s="84"/>
      <c r="AD12" s="82"/>
      <c r="AE12" s="82"/>
      <c r="AF12" s="82"/>
      <c r="AG12" s="82"/>
      <c r="AH12" s="82"/>
    </row>
    <row r="13" spans="1:34" ht="14.4" customHeight="1">
      <c r="A13" s="14"/>
      <c r="B13" s="12" t="s">
        <v>10</v>
      </c>
      <c r="C13" s="59">
        <f t="shared" si="0"/>
        <v>180.05</v>
      </c>
      <c r="D13" s="60"/>
      <c r="E13" s="60"/>
      <c r="F13" s="61"/>
      <c r="G13" s="59">
        <f t="shared" si="1"/>
        <v>180.03333333333333</v>
      </c>
      <c r="H13" s="60"/>
      <c r="I13" s="60"/>
      <c r="J13" s="61"/>
      <c r="K13" s="59">
        <f t="shared" si="2"/>
        <v>180.05</v>
      </c>
      <c r="L13" s="60"/>
      <c r="M13" s="60"/>
      <c r="N13" s="61"/>
      <c r="O13" s="59">
        <f t="shared" si="3"/>
        <v>180.03333333333333</v>
      </c>
      <c r="P13" s="60"/>
      <c r="Q13" s="60"/>
      <c r="R13" s="61"/>
      <c r="S13" s="59">
        <f t="shared" si="4"/>
        <v>180.03333333333333</v>
      </c>
      <c r="T13" s="60"/>
      <c r="U13" s="60"/>
      <c r="V13" s="61"/>
      <c r="X13" s="93"/>
      <c r="Y13" s="94"/>
      <c r="Z13" s="94"/>
      <c r="AA13" s="94"/>
      <c r="AB13" s="95"/>
      <c r="AC13" s="85"/>
      <c r="AD13" s="82"/>
      <c r="AE13" s="82"/>
      <c r="AF13" s="82"/>
      <c r="AG13" s="82"/>
      <c r="AH13" s="82"/>
    </row>
    <row r="14" spans="1:34" ht="14.4" customHeight="1">
      <c r="A14" s="14"/>
      <c r="B14" s="12" t="s">
        <v>15</v>
      </c>
      <c r="C14" s="59">
        <f>ABS(MIN(C10,C12)+360*C8-MAX(C10,C12))</f>
        <v>53.450000000000045</v>
      </c>
      <c r="D14" s="60"/>
      <c r="E14" s="60"/>
      <c r="F14" s="61"/>
      <c r="G14" s="59">
        <f>ABS(MIN(G10,G12)+360*G8-MAX(G10,G12))</f>
        <v>53.5</v>
      </c>
      <c r="H14" s="60"/>
      <c r="I14" s="60"/>
      <c r="J14" s="61"/>
      <c r="K14" s="59">
        <f>ABS(MIN(K10,K12)+360*K8-MAX(K10,K12))</f>
        <v>53.433333333333337</v>
      </c>
      <c r="L14" s="60"/>
      <c r="M14" s="60"/>
      <c r="N14" s="61"/>
      <c r="O14" s="59">
        <f>ABS(MIN(O10,O12)+360*O8-MAX(O10,O12))</f>
        <v>53.466666666666669</v>
      </c>
      <c r="P14" s="60"/>
      <c r="Q14" s="60"/>
      <c r="R14" s="61"/>
      <c r="S14" s="59">
        <f>ABS(MIN(S10,S12)+360*S8-MAX(S10,S12))</f>
        <v>53.416666666666686</v>
      </c>
      <c r="T14" s="60"/>
      <c r="U14" s="60"/>
      <c r="V14" s="61"/>
    </row>
    <row r="15" spans="1:34" ht="14.4" customHeight="1">
      <c r="A15" s="14"/>
      <c r="B15" s="12" t="s">
        <v>16</v>
      </c>
      <c r="C15" s="59">
        <f>ABS(MIN(C11,C13)+360*C9-MAX(C11,C13))</f>
        <v>53.500000000000014</v>
      </c>
      <c r="D15" s="60"/>
      <c r="E15" s="60"/>
      <c r="F15" s="61"/>
      <c r="G15" s="59">
        <f>ABS(MIN(G11,G13)+360*G9-MAX(G11,G13))</f>
        <v>53.533333333333331</v>
      </c>
      <c r="H15" s="60"/>
      <c r="I15" s="60"/>
      <c r="J15" s="61"/>
      <c r="K15" s="59">
        <f>ABS(MIN(K11,K13)+360*K9-MAX(K11,K13))</f>
        <v>53.533333333333346</v>
      </c>
      <c r="L15" s="60"/>
      <c r="M15" s="60"/>
      <c r="N15" s="61"/>
      <c r="O15" s="59">
        <f>ABS(MIN(O11,O13)+360*O9-MAX(O11,O13))</f>
        <v>53.51666666666668</v>
      </c>
      <c r="P15" s="60"/>
      <c r="Q15" s="60"/>
      <c r="R15" s="61"/>
      <c r="S15" s="59">
        <f>ABS(MIN(S11,S13)+360*S9-MAX(S11,S13))</f>
        <v>53.5</v>
      </c>
      <c r="T15" s="60"/>
      <c r="U15" s="60"/>
      <c r="V15" s="61"/>
      <c r="Y15" s="1" t="s">
        <v>87</v>
      </c>
      <c r="Z15" s="7">
        <f>data1!E2</f>
        <v>5.8177641733144316E-4</v>
      </c>
      <c r="AB15" s="27" t="s">
        <v>74</v>
      </c>
      <c r="AC15" s="27">
        <f>SQRT((1/4)*(_xlfn.COT((Z16+Y18)/2)-_xlfn.COT(Z16/2))^2*(Z15^2)+(1/4)*_xlfn.COT((Z16+Y18)/2)^2*Y25^2)</f>
        <v>3.7184589411627954E-4</v>
      </c>
    </row>
    <row r="16" spans="1:34" ht="14.4" customHeight="1">
      <c r="A16" s="14" t="s">
        <v>17</v>
      </c>
      <c r="B16" s="5" t="s">
        <v>18</v>
      </c>
      <c r="C16" s="59">
        <f>(1/2)*(C14+C15)</f>
        <v>53.47500000000003</v>
      </c>
      <c r="D16" s="60"/>
      <c r="E16" s="60"/>
      <c r="F16" s="61"/>
      <c r="G16" s="59">
        <f t="shared" ref="G16" si="5">(1/2)*(G14+G15)</f>
        <v>53.516666666666666</v>
      </c>
      <c r="H16" s="60"/>
      <c r="I16" s="60"/>
      <c r="J16" s="61"/>
      <c r="K16" s="59">
        <f t="shared" ref="K16" si="6">(1/2)*(K14+K15)</f>
        <v>53.483333333333341</v>
      </c>
      <c r="L16" s="60"/>
      <c r="M16" s="60"/>
      <c r="N16" s="61"/>
      <c r="O16" s="59">
        <f t="shared" ref="O16" si="7">(1/2)*(O14+O15)</f>
        <v>53.491666666666674</v>
      </c>
      <c r="P16" s="60"/>
      <c r="Q16" s="60"/>
      <c r="R16" s="61"/>
      <c r="S16" s="59">
        <f t="shared" ref="S16" si="8">(1/2)*(S14+S15)</f>
        <v>53.458333333333343</v>
      </c>
      <c r="T16" s="60"/>
      <c r="U16" s="60"/>
      <c r="V16" s="61"/>
      <c r="Y16" s="1" t="s">
        <v>86</v>
      </c>
      <c r="Z16" s="7">
        <f>data1!E4</f>
        <v>1.0474884394052635</v>
      </c>
      <c r="AB16" s="7" t="s">
        <v>101</v>
      </c>
      <c r="AC16" s="7">
        <f>C24*AC15</f>
        <v>6.2178844505627825E-4</v>
      </c>
    </row>
    <row r="17" spans="1:42" ht="14.4" customHeight="1">
      <c r="A17" s="14"/>
      <c r="B17" s="5" t="s">
        <v>19</v>
      </c>
      <c r="C17" s="59">
        <f>AVERAGE(C16:V16)</f>
        <v>53.485000000000014</v>
      </c>
      <c r="D17" s="60"/>
      <c r="E17" s="60"/>
      <c r="F17" s="60"/>
      <c r="G17" s="60"/>
      <c r="H17" s="60"/>
      <c r="I17" s="60"/>
      <c r="J17" s="60"/>
      <c r="K17" s="60"/>
      <c r="L17" s="60"/>
      <c r="M17" s="60"/>
      <c r="N17" s="60"/>
      <c r="O17" s="60"/>
      <c r="P17" s="60"/>
      <c r="Q17" s="60"/>
      <c r="R17" s="60"/>
      <c r="S17" s="60"/>
      <c r="T17" s="60"/>
      <c r="U17" s="60"/>
      <c r="V17" s="61"/>
      <c r="Y17" s="32"/>
    </row>
    <row r="18" spans="1:42" ht="14.4" customHeight="1">
      <c r="A18" s="104" t="s">
        <v>20</v>
      </c>
      <c r="B18" s="5" t="s">
        <v>22</v>
      </c>
      <c r="C18" s="59">
        <f>C16*PI()/180</f>
        <v>0.93331481750396816</v>
      </c>
      <c r="D18" s="60"/>
      <c r="E18" s="60"/>
      <c r="F18" s="61"/>
      <c r="G18" s="59">
        <f t="shared" ref="G18" si="9">G16*PI()/180</f>
        <v>0.93404203802563202</v>
      </c>
      <c r="H18" s="60"/>
      <c r="I18" s="60"/>
      <c r="J18" s="61"/>
      <c r="K18" s="59">
        <f t="shared" ref="K18" si="10">K16*PI()/180</f>
        <v>0.93346026160830065</v>
      </c>
      <c r="L18" s="60"/>
      <c r="M18" s="60"/>
      <c r="N18" s="61"/>
      <c r="O18" s="59">
        <f t="shared" ref="O18" si="11">O16*PI()/180</f>
        <v>0.93360570571263368</v>
      </c>
      <c r="P18" s="60"/>
      <c r="Q18" s="60"/>
      <c r="R18" s="61"/>
      <c r="S18" s="59">
        <f t="shared" ref="S18" si="12">S16*PI()/180</f>
        <v>0.93302392929530209</v>
      </c>
      <c r="T18" s="60"/>
      <c r="U18" s="60"/>
      <c r="V18" s="61"/>
      <c r="X18" s="50" t="s">
        <v>83</v>
      </c>
      <c r="Y18" s="59">
        <f>(K22+M22/60)*PI()/180</f>
        <v>0.93348935042916736</v>
      </c>
      <c r="Z18" s="60"/>
      <c r="AA18" s="61"/>
      <c r="AC18" s="67" t="s">
        <v>76</v>
      </c>
      <c r="AD18" s="68"/>
      <c r="AE18" s="68"/>
      <c r="AF18" s="68"/>
      <c r="AG18" s="69"/>
      <c r="AH18" s="22"/>
    </row>
    <row r="19" spans="1:42" ht="14.4" customHeight="1">
      <c r="A19" s="105"/>
      <c r="B19" s="5" t="s">
        <v>21</v>
      </c>
      <c r="C19" s="59">
        <f>C17*PI()/180</f>
        <v>0.93348935042916736</v>
      </c>
      <c r="D19" s="60"/>
      <c r="E19" s="60"/>
      <c r="F19" s="60"/>
      <c r="G19" s="60"/>
      <c r="H19" s="60"/>
      <c r="I19" s="60"/>
      <c r="J19" s="60"/>
      <c r="K19" s="60"/>
      <c r="L19" s="60"/>
      <c r="M19" s="60"/>
      <c r="N19" s="60"/>
      <c r="O19" s="60"/>
      <c r="P19" s="60"/>
      <c r="Q19" s="60"/>
      <c r="R19" s="60"/>
      <c r="S19" s="60"/>
      <c r="T19" s="60"/>
      <c r="U19" s="60"/>
      <c r="V19" s="61"/>
      <c r="X19" s="43" t="s">
        <v>57</v>
      </c>
      <c r="Y19" s="59">
        <f>SQRT(SUM(AC20:AG20))</f>
        <v>3.7647272962421969E-4</v>
      </c>
      <c r="Z19" s="60"/>
      <c r="AA19" s="61"/>
      <c r="AC19" s="3">
        <v>1</v>
      </c>
      <c r="AD19" s="3">
        <v>2</v>
      </c>
      <c r="AE19" s="3">
        <v>3</v>
      </c>
      <c r="AF19" s="3">
        <v>4</v>
      </c>
      <c r="AG19" s="3">
        <v>5</v>
      </c>
      <c r="AH19" s="22"/>
      <c r="AJ19" s="22"/>
      <c r="AK19" s="22"/>
      <c r="AL19" s="22"/>
      <c r="AM19" s="22"/>
      <c r="AN19" s="22"/>
    </row>
    <row r="20" spans="1:42">
      <c r="A20" s="86" t="s">
        <v>23</v>
      </c>
      <c r="B20" s="86"/>
      <c r="C20" s="86">
        <f>IF(AND(ABS(C14-C15)&lt;1/6,C16-$C$17&lt;1),0,"请检查过零")</f>
        <v>0</v>
      </c>
      <c r="D20" s="86"/>
      <c r="E20" s="86"/>
      <c r="F20" s="86"/>
      <c r="G20" s="86">
        <f t="shared" ref="G20" si="13">IF(AND(ABS(G14-G15)&lt;1/6,G16-$C$17&lt;1),0,"请检查过零")</f>
        <v>0</v>
      </c>
      <c r="H20" s="86"/>
      <c r="I20" s="86"/>
      <c r="J20" s="86"/>
      <c r="K20" s="86">
        <f t="shared" ref="K20" si="14">IF(AND(ABS(K14-K15)&lt;1/6,K16-$C$17&lt;1),0,"请检查过零")</f>
        <v>0</v>
      </c>
      <c r="L20" s="86"/>
      <c r="M20" s="86"/>
      <c r="N20" s="86"/>
      <c r="O20" s="86">
        <f t="shared" ref="O20" si="15">IF(AND(ABS(O14-O15)&lt;1/6,O16-$C$17&lt;1),0,"请检查过零")</f>
        <v>0</v>
      </c>
      <c r="P20" s="86"/>
      <c r="Q20" s="86"/>
      <c r="R20" s="86"/>
      <c r="S20" s="86">
        <f t="shared" ref="S20" si="16">IF(AND(ABS(S14-S15)&lt;1/6,S16-$C$17&lt;1),0,"请检查过零")</f>
        <v>0</v>
      </c>
      <c r="T20" s="86"/>
      <c r="U20" s="86"/>
      <c r="V20" s="86"/>
      <c r="X20" s="43" t="s">
        <v>84</v>
      </c>
      <c r="Y20" s="59">
        <f>Y19/SQRT(5)</f>
        <v>1.6836372302293082E-4</v>
      </c>
      <c r="Z20" s="60"/>
      <c r="AA20" s="61"/>
      <c r="AC20" s="3">
        <f>(AC24-$Y$18)^2/4</f>
        <v>7.6154354946473893E-9</v>
      </c>
      <c r="AD20" s="3">
        <f>(AD24-$Y$18)^2/4</f>
        <v>7.6365894821468391E-8</v>
      </c>
      <c r="AE20" s="3">
        <f>(AE24-$Y$18)^2/4</f>
        <v>2.1153987485400765E-10</v>
      </c>
      <c r="AF20" s="3">
        <f>(AF24-$Y$18)^2/4</f>
        <v>3.3846379976318272E-9</v>
      </c>
      <c r="AG20" s="3">
        <f>(AG24-$Y$18)^2/4</f>
        <v>5.4154207962109235E-8</v>
      </c>
      <c r="AH20" s="22"/>
      <c r="AJ20" s="22"/>
      <c r="AK20" s="22"/>
      <c r="AL20" s="22"/>
      <c r="AM20" s="22"/>
      <c r="AN20" s="22"/>
    </row>
    <row r="21" spans="1:42" ht="14.4" customHeight="1">
      <c r="A21" s="70" t="s">
        <v>18</v>
      </c>
      <c r="B21" s="70"/>
      <c r="C21" s="17">
        <f>_xlfn.FLOOR.MATH(C16)</f>
        <v>53</v>
      </c>
      <c r="D21" s="18" t="s">
        <v>2</v>
      </c>
      <c r="E21" s="23">
        <f>(C16-C21)*60</f>
        <v>28.500000000001791</v>
      </c>
      <c r="F21" s="19" t="s">
        <v>3</v>
      </c>
      <c r="G21" s="17">
        <f>_xlfn.FLOOR.MATH(G16)</f>
        <v>53</v>
      </c>
      <c r="H21" s="18" t="s">
        <v>2</v>
      </c>
      <c r="I21" s="23">
        <f>(G16-G21)*60</f>
        <v>30.999999999999943</v>
      </c>
      <c r="J21" s="19" t="s">
        <v>3</v>
      </c>
      <c r="K21" s="17">
        <f>_xlfn.FLOOR.MATH(K16)</f>
        <v>53</v>
      </c>
      <c r="L21" s="18" t="s">
        <v>2</v>
      </c>
      <c r="M21" s="23">
        <f>(K16-K21)*60</f>
        <v>29.000000000000483</v>
      </c>
      <c r="N21" s="19" t="s">
        <v>3</v>
      </c>
      <c r="O21" s="17">
        <f>_xlfn.FLOOR.MATH(O16)</f>
        <v>53</v>
      </c>
      <c r="P21" s="18" t="s">
        <v>2</v>
      </c>
      <c r="Q21" s="23">
        <f>(O16-O21)*60</f>
        <v>29.500000000000455</v>
      </c>
      <c r="R21" s="19" t="s">
        <v>3</v>
      </c>
      <c r="S21" s="17">
        <f>_xlfn.FLOOR.MATH(S16)</f>
        <v>53</v>
      </c>
      <c r="T21" s="18" t="s">
        <v>2</v>
      </c>
      <c r="U21" s="23">
        <f>(S16-S21)*60</f>
        <v>27.500000000000568</v>
      </c>
      <c r="V21" s="19" t="s">
        <v>3</v>
      </c>
      <c r="X21" s="43" t="s">
        <v>85</v>
      </c>
      <c r="Y21" s="59">
        <f>AD26*Y20</f>
        <v>1.9193464424614113E-4</v>
      </c>
      <c r="Z21" s="60"/>
      <c r="AA21" s="61"/>
      <c r="AC21" s="99" t="s">
        <v>82</v>
      </c>
      <c r="AD21" s="100"/>
      <c r="AE21" s="100"/>
      <c r="AF21" s="100"/>
      <c r="AG21" s="101"/>
      <c r="AH21" s="22"/>
      <c r="AJ21" s="22"/>
      <c r="AK21" s="22"/>
      <c r="AL21" s="22"/>
      <c r="AM21" s="22"/>
      <c r="AN21" s="22"/>
    </row>
    <row r="22" spans="1:42" ht="14.4" customHeight="1">
      <c r="A22" s="70" t="s">
        <v>19</v>
      </c>
      <c r="B22" s="70"/>
      <c r="C22" s="96"/>
      <c r="D22" s="96"/>
      <c r="E22" s="96"/>
      <c r="F22" s="96"/>
      <c r="G22" s="96"/>
      <c r="H22" s="96"/>
      <c r="I22" s="96"/>
      <c r="J22" s="97"/>
      <c r="K22" s="20">
        <f>_xlfn.FLOOR.MATH(AH23)</f>
        <v>53</v>
      </c>
      <c r="L22" s="21" t="s">
        <v>2</v>
      </c>
      <c r="M22" s="24">
        <f>(AH23-K22)*60</f>
        <v>29.100000000000819</v>
      </c>
      <c r="N22" s="21" t="s">
        <v>3</v>
      </c>
      <c r="O22" s="98"/>
      <c r="P22" s="96"/>
      <c r="Q22" s="96"/>
      <c r="R22" s="96"/>
      <c r="S22" s="96"/>
      <c r="T22" s="96"/>
      <c r="U22" s="96"/>
      <c r="V22" s="96"/>
      <c r="X22" s="4" t="s">
        <v>65</v>
      </c>
      <c r="Y22" s="59">
        <f>SQRT(Y21^2+AD29^2)</f>
        <v>6.1261954541534354E-4</v>
      </c>
      <c r="Z22" s="60"/>
      <c r="AA22" s="61"/>
      <c r="AC22" s="28">
        <v>1</v>
      </c>
      <c r="AD22" s="3">
        <v>2</v>
      </c>
      <c r="AE22" s="3">
        <v>3</v>
      </c>
      <c r="AF22" s="3">
        <v>4</v>
      </c>
      <c r="AG22" s="3">
        <v>5</v>
      </c>
      <c r="AH22" s="51" t="s">
        <v>92</v>
      </c>
      <c r="AJ22" s="22"/>
      <c r="AK22" s="22"/>
      <c r="AL22" s="22"/>
      <c r="AM22" s="22"/>
      <c r="AN22" s="22"/>
    </row>
    <row r="23" spans="1:42" ht="14.4" customHeight="1">
      <c r="A23" s="106" t="s">
        <v>97</v>
      </c>
      <c r="B23" s="107"/>
      <c r="C23" s="52"/>
      <c r="D23" s="54"/>
      <c r="E23" s="54"/>
      <c r="F23" s="54"/>
      <c r="G23" s="54"/>
      <c r="H23" s="54"/>
      <c r="I23" s="54"/>
      <c r="J23" s="54"/>
      <c r="K23" s="20">
        <f>_xlfn.FLOOR.MATH(Y23)</f>
        <v>0</v>
      </c>
      <c r="L23" s="21" t="s">
        <v>2</v>
      </c>
      <c r="M23" s="24">
        <f>(Y23-K23)*60</f>
        <v>2.106030863971335</v>
      </c>
      <c r="N23" s="21" t="s">
        <v>3</v>
      </c>
      <c r="O23" s="54"/>
      <c r="P23" s="54"/>
      <c r="Q23" s="54"/>
      <c r="R23" s="54"/>
      <c r="S23" s="54"/>
      <c r="T23" s="54"/>
      <c r="U23" s="54"/>
      <c r="V23" s="53"/>
      <c r="X23" s="4" t="s">
        <v>64</v>
      </c>
      <c r="Y23" s="59">
        <f>Y22*180/PI()</f>
        <v>3.5100514399522248E-2</v>
      </c>
      <c r="Z23" s="60"/>
      <c r="AA23" s="61"/>
      <c r="AC23" s="4">
        <f>C21+E21/60</f>
        <v>53.47500000000003</v>
      </c>
      <c r="AD23" s="4">
        <f>G21+I21/60</f>
        <v>53.516666666666666</v>
      </c>
      <c r="AE23" s="4">
        <f>K21+M21/60</f>
        <v>53.483333333333341</v>
      </c>
      <c r="AF23" s="4">
        <f>O21+Q21/60</f>
        <v>53.491666666666674</v>
      </c>
      <c r="AG23" s="4">
        <f>S21+U21/60</f>
        <v>53.458333333333343</v>
      </c>
      <c r="AH23" s="51">
        <f>AVERAGE(AC23:AG23)</f>
        <v>53.485000000000014</v>
      </c>
      <c r="AJ23" s="22"/>
      <c r="AK23" s="22"/>
      <c r="AL23" s="22"/>
      <c r="AM23" s="22"/>
      <c r="AN23" s="22"/>
    </row>
    <row r="24" spans="1:42">
      <c r="A24" s="86" t="s">
        <v>95</v>
      </c>
      <c r="B24" s="86"/>
      <c r="C24" s="97">
        <f>(SIN((Z16+Y18)/2))/(SIN(Z16/2))</f>
        <v>1.6721670318130215</v>
      </c>
      <c r="D24" s="103"/>
      <c r="E24" s="103"/>
      <c r="F24" s="103"/>
      <c r="G24" s="103"/>
      <c r="H24" s="103"/>
      <c r="I24" s="103"/>
      <c r="J24" s="103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98"/>
      <c r="X24" s="50"/>
      <c r="Y24" s="59"/>
      <c r="Z24" s="60"/>
      <c r="AA24" s="61"/>
      <c r="AB24" s="1" t="s">
        <v>100</v>
      </c>
      <c r="AC24" s="44">
        <f>AC23*PI()/180</f>
        <v>0.93331481750396816</v>
      </c>
      <c r="AD24" s="44">
        <f t="shared" ref="AD24:AH24" si="17">AD23*PI()/180</f>
        <v>0.93404203802563202</v>
      </c>
      <c r="AE24" s="44">
        <f t="shared" si="17"/>
        <v>0.93346026160830065</v>
      </c>
      <c r="AF24" s="44">
        <f t="shared" si="17"/>
        <v>0.93360570571263368</v>
      </c>
      <c r="AG24" s="44">
        <f t="shared" si="17"/>
        <v>0.93302392929530209</v>
      </c>
      <c r="AH24" s="44">
        <f t="shared" si="17"/>
        <v>0.93348935042916736</v>
      </c>
      <c r="AJ24" s="22"/>
      <c r="AK24" s="22"/>
      <c r="AL24" s="22"/>
      <c r="AM24" s="22"/>
      <c r="AN24" s="22"/>
      <c r="AO24" s="1"/>
      <c r="AP24" s="1"/>
    </row>
    <row r="25" spans="1:42">
      <c r="A25" s="86" t="s">
        <v>96</v>
      </c>
      <c r="B25" s="86"/>
      <c r="C25" s="96">
        <f>AC16</f>
        <v>6.2178844505627825E-4</v>
      </c>
      <c r="D25" s="96"/>
      <c r="E25" s="96"/>
      <c r="F25" s="96"/>
      <c r="G25" s="96"/>
      <c r="H25" s="96"/>
      <c r="I25" s="96"/>
      <c r="J25" s="96"/>
      <c r="K25" s="96"/>
      <c r="L25" s="96"/>
      <c r="M25" s="96"/>
      <c r="N25" s="96"/>
      <c r="O25" s="96"/>
      <c r="P25" s="96"/>
      <c r="Q25" s="96"/>
      <c r="R25" s="96"/>
      <c r="S25" s="96"/>
      <c r="T25" s="96"/>
      <c r="U25" s="96"/>
      <c r="V25" s="96"/>
      <c r="X25" s="43" t="s">
        <v>107</v>
      </c>
      <c r="Y25" s="59">
        <f>(K23+M23/60)*PI()/180</f>
        <v>6.1261954541534354E-4</v>
      </c>
      <c r="Z25" s="60"/>
      <c r="AA25" s="61"/>
      <c r="AB25" s="1"/>
      <c r="AC25" s="1"/>
      <c r="AD25" s="1"/>
      <c r="AE25" s="1"/>
      <c r="AF25" s="1"/>
      <c r="AG25" s="1"/>
      <c r="AH25" s="1"/>
      <c r="AJ25" s="22"/>
      <c r="AK25" s="22"/>
      <c r="AL25" s="22"/>
      <c r="AM25" s="22"/>
      <c r="AN25" s="22"/>
      <c r="AO25" s="1"/>
      <c r="AP25" s="1"/>
    </row>
    <row r="26" spans="1:42">
      <c r="K26" s="102" t="s">
        <v>79</v>
      </c>
      <c r="L26" s="102"/>
      <c r="M26" s="102"/>
      <c r="N26" s="102"/>
      <c r="X26" s="1"/>
      <c r="Y26" s="2"/>
      <c r="Z26" s="2"/>
      <c r="AA26" s="2"/>
      <c r="AB26" s="2"/>
      <c r="AC26" s="22" t="s">
        <v>59</v>
      </c>
      <c r="AD26" s="22">
        <v>1.1399999999999999</v>
      </c>
      <c r="AE26" s="1"/>
      <c r="AF26" s="1"/>
      <c r="AG26" s="1"/>
      <c r="AH26" s="22"/>
      <c r="AJ26" s="22"/>
      <c r="AK26" s="22"/>
      <c r="AL26" s="22"/>
      <c r="AM26" s="22"/>
      <c r="AN26" s="22"/>
      <c r="AO26" s="1"/>
      <c r="AP26" s="1"/>
    </row>
    <row r="27" spans="1:42" ht="14.4" customHeight="1">
      <c r="F27" s="73" t="s">
        <v>98</v>
      </c>
      <c r="G27" s="74"/>
      <c r="H27" s="74"/>
      <c r="I27" s="74"/>
      <c r="J27" s="74"/>
      <c r="K27" s="74"/>
      <c r="L27" s="74"/>
      <c r="M27" s="74"/>
      <c r="N27" s="74"/>
      <c r="O27" s="74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5"/>
      <c r="AA27" s="2"/>
      <c r="AB27" s="2"/>
      <c r="AC27" s="42" t="s">
        <v>77</v>
      </c>
      <c r="AD27" s="42"/>
      <c r="AE27" s="1"/>
      <c r="AF27" s="1"/>
      <c r="AG27" s="1"/>
      <c r="AH27" s="22"/>
      <c r="AJ27" s="22"/>
      <c r="AK27" s="22"/>
      <c r="AL27" s="22"/>
      <c r="AM27" s="22"/>
      <c r="AN27" s="22"/>
      <c r="AO27" s="1"/>
      <c r="AP27" s="1"/>
    </row>
    <row r="28" spans="1:42" ht="14.4" customHeight="1">
      <c r="A28" s="36" t="s">
        <v>105</v>
      </c>
      <c r="B28" s="7" t="s">
        <v>106</v>
      </c>
      <c r="F28" s="76"/>
      <c r="G28" s="77"/>
      <c r="H28" s="77"/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  <c r="W28" s="77"/>
      <c r="X28" s="77"/>
      <c r="Y28" s="77"/>
      <c r="Z28" s="78"/>
      <c r="AA28" s="33"/>
      <c r="AB28" s="33"/>
      <c r="AC28" s="22" t="s">
        <v>62</v>
      </c>
      <c r="AD28" s="22">
        <f>2/60</f>
        <v>3.3333333333333333E-2</v>
      </c>
      <c r="AG28" s="22"/>
      <c r="AH28" s="22"/>
      <c r="AJ28" s="22"/>
      <c r="AK28" s="22"/>
      <c r="AL28" s="22"/>
      <c r="AM28" s="22"/>
      <c r="AN28" s="22"/>
      <c r="AO28" s="1"/>
      <c r="AP28" s="1"/>
    </row>
    <row r="29" spans="1:42" ht="14.4" customHeight="1">
      <c r="A29" s="7" t="s">
        <v>45</v>
      </c>
      <c r="B29" s="7" t="s">
        <v>109</v>
      </c>
      <c r="F29" s="79"/>
      <c r="G29" s="80"/>
      <c r="H29" s="80"/>
      <c r="I29" s="80"/>
      <c r="J29" s="80"/>
      <c r="K29" s="80"/>
      <c r="L29" s="80"/>
      <c r="M29" s="80"/>
      <c r="N29" s="80"/>
      <c r="O29" s="80"/>
      <c r="P29" s="80"/>
      <c r="Q29" s="80"/>
      <c r="R29" s="80"/>
      <c r="S29" s="80"/>
      <c r="T29" s="80"/>
      <c r="U29" s="80"/>
      <c r="V29" s="80"/>
      <c r="W29" s="80"/>
      <c r="X29" s="80"/>
      <c r="Y29" s="80"/>
      <c r="Z29" s="81"/>
      <c r="AC29" s="22" t="s">
        <v>63</v>
      </c>
      <c r="AD29" s="22">
        <f>AD28*PI()/180</f>
        <v>5.8177641733144316E-4</v>
      </c>
      <c r="AG29" s="22"/>
      <c r="AH29" s="22"/>
      <c r="AJ29" s="22"/>
      <c r="AK29" s="22"/>
      <c r="AL29" s="22"/>
      <c r="AM29" s="22"/>
      <c r="AN29" s="22"/>
      <c r="AO29" s="1"/>
      <c r="AP29" s="1"/>
    </row>
    <row r="30" spans="1:42" ht="14.4" customHeight="1">
      <c r="W30" s="1"/>
      <c r="X30" s="1"/>
      <c r="Y30" s="1"/>
      <c r="Z30" s="1"/>
      <c r="AG30" s="22"/>
      <c r="AH30" s="22"/>
      <c r="AJ30" s="22"/>
      <c r="AK30" s="22"/>
      <c r="AL30" s="22"/>
      <c r="AM30" s="22"/>
      <c r="AN30" s="22"/>
      <c r="AO30" s="1"/>
      <c r="AP30" s="1"/>
    </row>
    <row r="31" spans="1:42" ht="14.4" customHeight="1">
      <c r="AH31" s="22"/>
      <c r="AI31" s="22"/>
      <c r="AJ31" s="22"/>
      <c r="AK31" s="22"/>
      <c r="AL31" s="22"/>
      <c r="AM31" s="22"/>
      <c r="AN31" s="22"/>
      <c r="AO31" s="22"/>
      <c r="AP31" s="22"/>
    </row>
    <row r="32" spans="1:42" ht="14.4" customHeight="1"/>
    <row r="33" spans="30:31">
      <c r="AD33" s="22"/>
      <c r="AE33" s="22"/>
    </row>
    <row r="34" spans="30:31" ht="14.4" customHeight="1"/>
    <row r="35" spans="30:31" ht="14.4" customHeight="1"/>
    <row r="36" spans="30:31" ht="14.4" customHeight="1"/>
    <row r="37" spans="30:31" ht="14.4" customHeight="1"/>
    <row r="39" spans="30:31" ht="14.4" customHeight="1"/>
    <row r="40" spans="30:31" ht="14.4" customHeight="1"/>
    <row r="41" spans="30:31" ht="14.4" customHeight="1"/>
    <row r="42" spans="30:31" ht="14.4" customHeight="1"/>
    <row r="43" spans="30:31" ht="14.4" customHeight="1"/>
    <row r="44" spans="30:31" ht="14.4" customHeight="1"/>
  </sheetData>
  <mergeCells count="103">
    <mergeCell ref="Y24:AA24"/>
    <mergeCell ref="Y25:AA25"/>
    <mergeCell ref="A25:B25"/>
    <mergeCell ref="K26:N26"/>
    <mergeCell ref="C24:V24"/>
    <mergeCell ref="C25:V25"/>
    <mergeCell ref="A18:A19"/>
    <mergeCell ref="S20:V20"/>
    <mergeCell ref="A20:B20"/>
    <mergeCell ref="A24:B24"/>
    <mergeCell ref="C20:F20"/>
    <mergeCell ref="G20:J20"/>
    <mergeCell ref="A21:B21"/>
    <mergeCell ref="A22:B22"/>
    <mergeCell ref="C19:V19"/>
    <mergeCell ref="A23:B23"/>
    <mergeCell ref="G18:J18"/>
    <mergeCell ref="F27:Z29"/>
    <mergeCell ref="AD11:AH13"/>
    <mergeCell ref="AC11:AC13"/>
    <mergeCell ref="Y19:AA19"/>
    <mergeCell ref="Y20:AA20"/>
    <mergeCell ref="Y21:AA21"/>
    <mergeCell ref="X11:AB13"/>
    <mergeCell ref="Y22:AA22"/>
    <mergeCell ref="K20:N20"/>
    <mergeCell ref="O20:R20"/>
    <mergeCell ref="C22:J22"/>
    <mergeCell ref="O22:V22"/>
    <mergeCell ref="O18:R18"/>
    <mergeCell ref="S18:V18"/>
    <mergeCell ref="O14:R14"/>
    <mergeCell ref="O15:R15"/>
    <mergeCell ref="S14:V14"/>
    <mergeCell ref="S15:V15"/>
    <mergeCell ref="C17:V17"/>
    <mergeCell ref="O16:R16"/>
    <mergeCell ref="S16:V16"/>
    <mergeCell ref="C14:F14"/>
    <mergeCell ref="Y23:AA23"/>
    <mergeCell ref="AC21:AG21"/>
    <mergeCell ref="G16:J16"/>
    <mergeCell ref="C8:F8"/>
    <mergeCell ref="C18:F18"/>
    <mergeCell ref="K18:N18"/>
    <mergeCell ref="G11:J11"/>
    <mergeCell ref="G12:J12"/>
    <mergeCell ref="G13:J13"/>
    <mergeCell ref="K10:N10"/>
    <mergeCell ref="K11:N11"/>
    <mergeCell ref="K12:N12"/>
    <mergeCell ref="K13:N13"/>
    <mergeCell ref="A4:A5"/>
    <mergeCell ref="A6:A7"/>
    <mergeCell ref="C11:F11"/>
    <mergeCell ref="C12:F12"/>
    <mergeCell ref="C13:F13"/>
    <mergeCell ref="C16:F16"/>
    <mergeCell ref="C10:F10"/>
    <mergeCell ref="G10:J10"/>
    <mergeCell ref="O10:R10"/>
    <mergeCell ref="O11:R11"/>
    <mergeCell ref="O12:R12"/>
    <mergeCell ref="O13:R13"/>
    <mergeCell ref="A8:A9"/>
    <mergeCell ref="C9:F9"/>
    <mergeCell ref="G8:J8"/>
    <mergeCell ref="G9:J9"/>
    <mergeCell ref="K8:N8"/>
    <mergeCell ref="K9:N9"/>
    <mergeCell ref="G14:J14"/>
    <mergeCell ref="G15:J15"/>
    <mergeCell ref="K14:N14"/>
    <mergeCell ref="K15:N15"/>
    <mergeCell ref="C15:F15"/>
    <mergeCell ref="K16:N16"/>
    <mergeCell ref="S8:V8"/>
    <mergeCell ref="S9:V9"/>
    <mergeCell ref="O9:R9"/>
    <mergeCell ref="O8:R8"/>
    <mergeCell ref="S10:V10"/>
    <mergeCell ref="S11:V11"/>
    <mergeCell ref="S12:V12"/>
    <mergeCell ref="S13:V13"/>
    <mergeCell ref="AC18:AG18"/>
    <mergeCell ref="Y18:AA18"/>
    <mergeCell ref="A2:B2"/>
    <mergeCell ref="A3:B3"/>
    <mergeCell ref="C2:F2"/>
    <mergeCell ref="C3:D3"/>
    <mergeCell ref="E3:F3"/>
    <mergeCell ref="O3:P3"/>
    <mergeCell ref="Q3:R3"/>
    <mergeCell ref="S2:V2"/>
    <mergeCell ref="S3:T3"/>
    <mergeCell ref="U3:V3"/>
    <mergeCell ref="O2:R2"/>
    <mergeCell ref="K2:N2"/>
    <mergeCell ref="K3:L3"/>
    <mergeCell ref="G2:J2"/>
    <mergeCell ref="G3:H3"/>
    <mergeCell ref="I3:J3"/>
    <mergeCell ref="M3:N3"/>
  </mergeCells>
  <phoneticPr fontId="1" type="noConversion"/>
  <conditionalFormatting sqref="C20:V20">
    <cfRule type="cellIs" dxfId="8" priority="1" operator="equal">
      <formula>"请检查过零"</formula>
    </cfRule>
    <cfRule type="cellIs" dxfId="7" priority="2" operator="equal">
      <formula>1</formula>
    </cfRule>
    <cfRule type="cellIs" dxfId="6" priority="3" operator="equal">
      <formula>0</formula>
    </cfRule>
  </conditionalFormatting>
  <dataValidations count="1">
    <dataValidation type="whole" allowBlank="1" showInputMessage="1" showErrorMessage="1" sqref="C8:V9" xr:uid="{C8673AA7-8733-495B-920C-A6453668552D}">
      <formula1>0</formula1>
      <formula2>1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A7763-C748-441F-A088-619D2BF61469}">
  <dimension ref="A1:AF42"/>
  <sheetViews>
    <sheetView zoomScaleNormal="100" workbookViewId="0">
      <selection sqref="A1:A3"/>
    </sheetView>
  </sheetViews>
  <sheetFormatPr defaultRowHeight="14.4"/>
  <cols>
    <col min="1" max="1" width="16.44140625" style="1" customWidth="1"/>
    <col min="2" max="2" width="4.21875" style="1" customWidth="1"/>
    <col min="3" max="3" width="2.109375" style="1" customWidth="1"/>
    <col min="4" max="4" width="2.88671875" style="1" customWidth="1"/>
    <col min="5" max="5" width="2.21875" style="1" customWidth="1"/>
    <col min="6" max="6" width="4.21875" style="1" customWidth="1"/>
    <col min="7" max="7" width="2.109375" style="1" customWidth="1"/>
    <col min="8" max="8" width="2.88671875" style="1" customWidth="1"/>
    <col min="9" max="9" width="2.21875" style="1" customWidth="1"/>
    <col min="10" max="10" width="4.21875" style="1" customWidth="1"/>
    <col min="11" max="11" width="2.109375" style="1" customWidth="1"/>
    <col min="12" max="12" width="2.88671875" style="1" customWidth="1"/>
    <col min="13" max="13" width="2.21875" style="1" customWidth="1"/>
    <col min="14" max="14" width="4.21875" style="1" customWidth="1"/>
    <col min="15" max="15" width="2.109375" style="1" customWidth="1"/>
    <col min="16" max="16" width="2.88671875" style="1" customWidth="1"/>
    <col min="17" max="17" width="2.21875" style="1" customWidth="1"/>
    <col min="18" max="18" width="10.44140625" style="1" customWidth="1"/>
    <col min="19" max="19" width="9.44140625" style="1" customWidth="1"/>
    <col min="20" max="20" width="12.6640625" style="1" customWidth="1"/>
    <col min="21" max="21" width="4.21875" style="1" customWidth="1"/>
    <col min="22" max="22" width="2.109375" style="1" customWidth="1"/>
    <col min="23" max="23" width="7.77734375" style="1" customWidth="1"/>
    <col min="24" max="24" width="1.77734375" style="1" customWidth="1"/>
    <col min="25" max="25" width="4.21875" style="1" customWidth="1"/>
    <col min="26" max="26" width="2.109375" style="1" customWidth="1"/>
    <col min="27" max="27" width="8.33203125" style="1" customWidth="1"/>
    <col min="28" max="28" width="1.77734375" style="1" customWidth="1"/>
    <col min="29" max="29" width="8.88671875" style="1"/>
    <col min="30" max="30" width="2.6640625" style="1" customWidth="1"/>
    <col min="31" max="16384" width="8.88671875" style="1"/>
  </cols>
  <sheetData>
    <row r="1" spans="1:32" ht="14.4" customHeight="1">
      <c r="A1" s="111" t="s">
        <v>24</v>
      </c>
      <c r="B1" s="112" t="s">
        <v>69</v>
      </c>
      <c r="C1" s="112"/>
      <c r="D1" s="112"/>
      <c r="E1" s="112"/>
      <c r="F1" s="112"/>
      <c r="G1" s="112"/>
      <c r="H1" s="112"/>
      <c r="I1" s="112"/>
      <c r="J1" s="112" t="s">
        <v>70</v>
      </c>
      <c r="K1" s="112"/>
      <c r="L1" s="112"/>
      <c r="M1" s="112"/>
      <c r="N1" s="112"/>
      <c r="O1" s="112"/>
      <c r="P1" s="112"/>
      <c r="Q1" s="112"/>
      <c r="R1" s="113" t="s">
        <v>32</v>
      </c>
      <c r="S1" s="114"/>
      <c r="T1" s="108" t="s">
        <v>42</v>
      </c>
      <c r="U1" s="70" t="s">
        <v>35</v>
      </c>
      <c r="V1" s="70"/>
      <c r="W1" s="70"/>
      <c r="X1" s="70"/>
      <c r="Y1" s="70" t="s">
        <v>31</v>
      </c>
      <c r="Z1" s="70"/>
      <c r="AA1" s="70"/>
      <c r="AB1" s="70"/>
    </row>
    <row r="2" spans="1:32" ht="14.4" customHeight="1">
      <c r="A2" s="111"/>
      <c r="B2" s="70" t="s">
        <v>25</v>
      </c>
      <c r="C2" s="70"/>
      <c r="D2" s="70"/>
      <c r="E2" s="70"/>
      <c r="F2" s="70" t="s">
        <v>26</v>
      </c>
      <c r="G2" s="70"/>
      <c r="H2" s="70"/>
      <c r="I2" s="70"/>
      <c r="J2" s="70" t="s">
        <v>27</v>
      </c>
      <c r="K2" s="70"/>
      <c r="L2" s="70"/>
      <c r="M2" s="70"/>
      <c r="N2" s="70" t="s">
        <v>28</v>
      </c>
      <c r="O2" s="70"/>
      <c r="P2" s="70"/>
      <c r="Q2" s="70"/>
      <c r="R2" s="115"/>
      <c r="S2" s="116"/>
      <c r="T2" s="109"/>
      <c r="U2" s="70"/>
      <c r="V2" s="70"/>
      <c r="W2" s="70"/>
      <c r="X2" s="70"/>
      <c r="Y2" s="70"/>
      <c r="Z2" s="70"/>
      <c r="AA2" s="70"/>
      <c r="AB2" s="70"/>
    </row>
    <row r="3" spans="1:32" ht="14.4" customHeight="1">
      <c r="A3" s="111"/>
      <c r="B3" s="86" t="s">
        <v>0</v>
      </c>
      <c r="C3" s="86"/>
      <c r="D3" s="86" t="s">
        <v>1</v>
      </c>
      <c r="E3" s="86"/>
      <c r="F3" s="86" t="s">
        <v>0</v>
      </c>
      <c r="G3" s="86"/>
      <c r="H3" s="86" t="s">
        <v>1</v>
      </c>
      <c r="I3" s="86"/>
      <c r="J3" s="86" t="s">
        <v>0</v>
      </c>
      <c r="K3" s="86"/>
      <c r="L3" s="86" t="s">
        <v>1</v>
      </c>
      <c r="M3" s="86"/>
      <c r="N3" s="86" t="s">
        <v>0</v>
      </c>
      <c r="O3" s="86"/>
      <c r="P3" s="86" t="s">
        <v>1</v>
      </c>
      <c r="Q3" s="86"/>
      <c r="R3" s="12" t="s">
        <v>33</v>
      </c>
      <c r="S3" s="12" t="s">
        <v>34</v>
      </c>
      <c r="T3" s="110"/>
      <c r="U3" s="86" t="s">
        <v>0</v>
      </c>
      <c r="V3" s="86"/>
      <c r="W3" s="59" t="s">
        <v>1</v>
      </c>
      <c r="X3" s="61"/>
      <c r="Y3" s="86" t="s">
        <v>0</v>
      </c>
      <c r="Z3" s="86"/>
      <c r="AA3" s="59" t="s">
        <v>1</v>
      </c>
      <c r="AB3" s="61"/>
    </row>
    <row r="4" spans="1:32" ht="14.4" customHeight="1">
      <c r="A4" s="13">
        <v>1</v>
      </c>
      <c r="B4" s="10">
        <v>297</v>
      </c>
      <c r="C4" s="8" t="s">
        <v>2</v>
      </c>
      <c r="D4" s="11">
        <v>47</v>
      </c>
      <c r="E4" s="6" t="s">
        <v>3</v>
      </c>
      <c r="F4" s="11">
        <v>117</v>
      </c>
      <c r="G4" s="8" t="s">
        <v>2</v>
      </c>
      <c r="H4" s="11">
        <v>42</v>
      </c>
      <c r="I4" s="6" t="s">
        <v>3</v>
      </c>
      <c r="J4" s="11">
        <v>57</v>
      </c>
      <c r="K4" s="8" t="s">
        <v>2</v>
      </c>
      <c r="L4" s="11">
        <v>41</v>
      </c>
      <c r="M4" s="6" t="s">
        <v>3</v>
      </c>
      <c r="N4" s="11">
        <v>237</v>
      </c>
      <c r="O4" s="8" t="s">
        <v>2</v>
      </c>
      <c r="P4" s="11">
        <v>45</v>
      </c>
      <c r="Q4" s="6" t="s">
        <v>3</v>
      </c>
      <c r="R4" s="16">
        <v>1</v>
      </c>
      <c r="S4" s="16">
        <v>0</v>
      </c>
      <c r="T4" s="3">
        <f>IF(AND(ABS(F10-N10)&lt;1,F13-AVERAGE($F$13:$I$15)&lt;1),0,"请检查过零")</f>
        <v>0</v>
      </c>
      <c r="U4" s="9">
        <f>_xlfn.FLOOR.MATH(F13)</f>
        <v>119</v>
      </c>
      <c r="V4" s="8" t="s">
        <v>2</v>
      </c>
      <c r="W4" s="9">
        <f>(F13-U4)*60</f>
        <v>58.499999999999659</v>
      </c>
      <c r="X4" s="8" t="s">
        <v>3</v>
      </c>
      <c r="Y4" s="34">
        <f>_xlfn.FLOOR.MATH(F16)</f>
        <v>60</v>
      </c>
      <c r="Z4" s="21" t="s">
        <v>2</v>
      </c>
      <c r="AA4" s="24">
        <f>(F16-Y4)*60</f>
        <v>1.5000000000003411</v>
      </c>
      <c r="AB4" s="55" t="s">
        <v>3</v>
      </c>
    </row>
    <row r="5" spans="1:32" ht="14.4" customHeight="1">
      <c r="A5" s="13">
        <v>2</v>
      </c>
      <c r="B5" s="10">
        <v>318</v>
      </c>
      <c r="C5" s="8" t="s">
        <v>2</v>
      </c>
      <c r="D5" s="11">
        <v>15</v>
      </c>
      <c r="E5" s="6" t="s">
        <v>3</v>
      </c>
      <c r="F5" s="11">
        <v>138</v>
      </c>
      <c r="G5" s="8" t="s">
        <v>2</v>
      </c>
      <c r="H5" s="11">
        <v>12</v>
      </c>
      <c r="I5" s="6" t="s">
        <v>3</v>
      </c>
      <c r="J5" s="11">
        <v>78</v>
      </c>
      <c r="K5" s="8" t="s">
        <v>2</v>
      </c>
      <c r="L5" s="11">
        <v>10</v>
      </c>
      <c r="M5" s="6" t="s">
        <v>3</v>
      </c>
      <c r="N5" s="11">
        <v>258</v>
      </c>
      <c r="O5" s="8" t="s">
        <v>2</v>
      </c>
      <c r="P5" s="11">
        <v>14</v>
      </c>
      <c r="Q5" s="6" t="s">
        <v>3</v>
      </c>
      <c r="R5" s="16">
        <v>1</v>
      </c>
      <c r="S5" s="16">
        <v>0</v>
      </c>
      <c r="T5" s="3">
        <f>IF(AND(ABS(F11-N11)&lt;1,F14-AVERAGE($F$13:$I$15)&lt;1),0,"请检查过零")</f>
        <v>0</v>
      </c>
      <c r="U5" s="9">
        <f t="shared" ref="U5:U6" si="0">_xlfn.FLOOR.MATH(F14)</f>
        <v>119</v>
      </c>
      <c r="V5" s="8" t="s">
        <v>2</v>
      </c>
      <c r="W5" s="9">
        <f>(F14-U5)*60</f>
        <v>58.500000000001364</v>
      </c>
      <c r="X5" s="8" t="s">
        <v>3</v>
      </c>
      <c r="Y5" s="34">
        <f>_xlfn.FLOOR.MATH(F17)</f>
        <v>60</v>
      </c>
      <c r="Z5" s="21" t="s">
        <v>2</v>
      </c>
      <c r="AA5" s="24">
        <f>(F17-Y5)*60</f>
        <v>1.4999999999986358</v>
      </c>
      <c r="AB5" s="55" t="s">
        <v>3</v>
      </c>
    </row>
    <row r="6" spans="1:32" ht="14.4" customHeight="1">
      <c r="A6" s="13">
        <v>3</v>
      </c>
      <c r="B6" s="10">
        <v>300</v>
      </c>
      <c r="C6" s="8" t="s">
        <v>2</v>
      </c>
      <c r="D6" s="11">
        <v>39</v>
      </c>
      <c r="E6" s="6" t="s">
        <v>3</v>
      </c>
      <c r="F6" s="11">
        <v>120</v>
      </c>
      <c r="G6" s="8" t="s">
        <v>2</v>
      </c>
      <c r="H6" s="11">
        <v>32</v>
      </c>
      <c r="I6" s="6" t="s">
        <v>3</v>
      </c>
      <c r="J6" s="11">
        <v>60</v>
      </c>
      <c r="K6" s="8" t="s">
        <v>2</v>
      </c>
      <c r="L6" s="11">
        <v>32</v>
      </c>
      <c r="M6" s="6" t="s">
        <v>3</v>
      </c>
      <c r="N6" s="11">
        <v>240</v>
      </c>
      <c r="O6" s="8" t="s">
        <v>2</v>
      </c>
      <c r="P6" s="11">
        <v>35</v>
      </c>
      <c r="Q6" s="6" t="s">
        <v>3</v>
      </c>
      <c r="R6" s="16">
        <v>1</v>
      </c>
      <c r="S6" s="16">
        <v>0</v>
      </c>
      <c r="T6" s="3">
        <f>IF(AND(ABS(F12-N12)&lt;1,F15-AVERAGE($F$13:$I$15)&lt;1),0,"请检查过零")</f>
        <v>0</v>
      </c>
      <c r="U6" s="9">
        <f t="shared" si="0"/>
        <v>119</v>
      </c>
      <c r="V6" s="8" t="s">
        <v>2</v>
      </c>
      <c r="W6" s="9">
        <f>(F15-U6)*60</f>
        <v>58.000000000000114</v>
      </c>
      <c r="X6" s="8" t="s">
        <v>3</v>
      </c>
      <c r="Y6" s="34">
        <f>_xlfn.FLOOR.MATH(F18)</f>
        <v>60</v>
      </c>
      <c r="Z6" s="21" t="s">
        <v>2</v>
      </c>
      <c r="AA6" s="24">
        <f>(F18-Y6)*60</f>
        <v>1.9999999999998863</v>
      </c>
      <c r="AB6" s="55" t="s">
        <v>3</v>
      </c>
    </row>
    <row r="7" spans="1:32" ht="14.4" customHeight="1">
      <c r="A7" s="15">
        <v>1</v>
      </c>
      <c r="B7" s="59">
        <f>B4+D4/60</f>
        <v>297.78333333333336</v>
      </c>
      <c r="C7" s="60"/>
      <c r="D7" s="60"/>
      <c r="E7" s="61"/>
      <c r="F7" s="59">
        <f>F4+H4/60</f>
        <v>117.7</v>
      </c>
      <c r="G7" s="60"/>
      <c r="H7" s="60"/>
      <c r="I7" s="61"/>
      <c r="J7" s="59">
        <f>J4+L4/60</f>
        <v>57.68333333333333</v>
      </c>
      <c r="K7" s="60"/>
      <c r="L7" s="60"/>
      <c r="M7" s="61"/>
      <c r="N7" s="59">
        <f>N4+P4/60</f>
        <v>237.75</v>
      </c>
      <c r="O7" s="60"/>
      <c r="P7" s="60"/>
      <c r="Q7" s="61"/>
      <c r="R7" s="2"/>
      <c r="S7" s="2"/>
      <c r="T7" s="2"/>
      <c r="U7" s="7"/>
      <c r="V7" s="7"/>
      <c r="W7" s="7"/>
      <c r="X7" s="7"/>
      <c r="Y7" s="7"/>
      <c r="Z7" s="7"/>
      <c r="AA7" s="7"/>
      <c r="AB7" s="7"/>
    </row>
    <row r="8" spans="1:32" ht="14.4" customHeight="1">
      <c r="A8" s="12">
        <v>2</v>
      </c>
      <c r="B8" s="59">
        <f>B5+D5/60</f>
        <v>318.25</v>
      </c>
      <c r="C8" s="60"/>
      <c r="D8" s="60"/>
      <c r="E8" s="61"/>
      <c r="F8" s="59">
        <f>F5+H5/60</f>
        <v>138.19999999999999</v>
      </c>
      <c r="G8" s="60"/>
      <c r="H8" s="60"/>
      <c r="I8" s="61"/>
      <c r="J8" s="59">
        <f>J5+L5/60</f>
        <v>78.166666666666671</v>
      </c>
      <c r="K8" s="60"/>
      <c r="L8" s="60"/>
      <c r="M8" s="61"/>
      <c r="N8" s="59">
        <f>N5+P5/60</f>
        <v>258.23333333333335</v>
      </c>
      <c r="O8" s="60"/>
      <c r="P8" s="60"/>
      <c r="Q8" s="61"/>
      <c r="R8" s="2"/>
      <c r="S8" s="2"/>
      <c r="T8" s="2"/>
      <c r="U8" s="7"/>
      <c r="V8" s="7"/>
      <c r="W8" s="97" t="s">
        <v>72</v>
      </c>
      <c r="X8" s="98"/>
      <c r="Y8" s="20">
        <f>_xlfn.FLOOR.MATH(T16)</f>
        <v>60</v>
      </c>
      <c r="Z8" s="21" t="s">
        <v>2</v>
      </c>
      <c r="AA8" s="24">
        <f>_xlfn.FLOOR.MATH((T16-Y8)*60)</f>
        <v>1</v>
      </c>
      <c r="AB8" s="21" t="s">
        <v>3</v>
      </c>
      <c r="AC8" s="24">
        <f>((T16-Y8)*60-AA8)*60</f>
        <v>40.000000000002842</v>
      </c>
      <c r="AD8" s="56" t="s">
        <v>102</v>
      </c>
    </row>
    <row r="9" spans="1:32" ht="14.4" customHeight="1">
      <c r="A9" s="12">
        <v>3</v>
      </c>
      <c r="B9" s="59">
        <f>B6+D6/60</f>
        <v>300.64999999999998</v>
      </c>
      <c r="C9" s="60"/>
      <c r="D9" s="60"/>
      <c r="E9" s="61"/>
      <c r="F9" s="59">
        <f>F6+H6/60</f>
        <v>120.53333333333333</v>
      </c>
      <c r="G9" s="60"/>
      <c r="H9" s="60"/>
      <c r="I9" s="61"/>
      <c r="J9" s="59">
        <f>J6+L6/60</f>
        <v>60.533333333333331</v>
      </c>
      <c r="K9" s="60"/>
      <c r="L9" s="60"/>
      <c r="M9" s="61"/>
      <c r="N9" s="59">
        <f>N6+P6/60</f>
        <v>240.58333333333334</v>
      </c>
      <c r="O9" s="60"/>
      <c r="P9" s="60"/>
      <c r="Q9" s="61"/>
      <c r="R9" s="2"/>
      <c r="S9" s="2"/>
      <c r="T9" s="2"/>
      <c r="U9" s="7"/>
      <c r="V9" s="7"/>
      <c r="W9" s="97" t="s">
        <v>66</v>
      </c>
      <c r="X9" s="98"/>
      <c r="Y9" s="20">
        <f>_xlfn.FLOOR.MATH(B25)</f>
        <v>0</v>
      </c>
      <c r="Z9" s="21" t="s">
        <v>2</v>
      </c>
      <c r="AA9" s="24">
        <f>_xlfn.FLOOR.MATH((B25-Y9)*60)</f>
        <v>2</v>
      </c>
      <c r="AB9" s="21" t="s">
        <v>3</v>
      </c>
      <c r="AC9" s="24">
        <f>((B25-Y9)*60-AA9)*60</f>
        <v>6.3651850787953812</v>
      </c>
      <c r="AD9" s="56" t="s">
        <v>102</v>
      </c>
      <c r="AF9" s="1" t="s">
        <v>103</v>
      </c>
    </row>
    <row r="10" spans="1:32" ht="14.4" customHeight="1">
      <c r="A10" s="12" t="s">
        <v>36</v>
      </c>
      <c r="B10" s="59" t="s">
        <v>39</v>
      </c>
      <c r="C10" s="60"/>
      <c r="D10" s="60"/>
      <c r="E10" s="61"/>
      <c r="F10" s="59">
        <f>ABS(MIN(B7,J7)+360*R4-MAX(B7,J7))</f>
        <v>119.89999999999998</v>
      </c>
      <c r="G10" s="60"/>
      <c r="H10" s="60"/>
      <c r="I10" s="61"/>
      <c r="J10" s="59" t="s">
        <v>41</v>
      </c>
      <c r="K10" s="60"/>
      <c r="L10" s="60"/>
      <c r="M10" s="61"/>
      <c r="N10" s="59">
        <f>ABS(MIN(F7,N7)+360*S4-MAX(F7,N7))</f>
        <v>120.05</v>
      </c>
      <c r="O10" s="60"/>
      <c r="P10" s="60"/>
      <c r="Q10" s="61"/>
      <c r="R10" s="2"/>
      <c r="S10" s="2"/>
      <c r="T10" s="2"/>
      <c r="U10" s="7"/>
      <c r="V10" s="7"/>
      <c r="W10" s="7"/>
      <c r="X10" s="7"/>
    </row>
    <row r="11" spans="1:32" ht="14.4" customHeight="1">
      <c r="A11" s="12" t="s">
        <v>37</v>
      </c>
      <c r="B11" s="59" t="s">
        <v>39</v>
      </c>
      <c r="C11" s="60"/>
      <c r="D11" s="60"/>
      <c r="E11" s="61"/>
      <c r="F11" s="59">
        <f>ABS(MIN(B8,J8)+360*R5-MAX(B8,J8))</f>
        <v>119.91666666666669</v>
      </c>
      <c r="G11" s="60"/>
      <c r="H11" s="60"/>
      <c r="I11" s="61"/>
      <c r="J11" s="59" t="s">
        <v>41</v>
      </c>
      <c r="K11" s="60"/>
      <c r="L11" s="60"/>
      <c r="M11" s="61"/>
      <c r="N11" s="59">
        <f>ABS(MIN(F8,N8)+360*S5-MAX(F8,N8))</f>
        <v>120.03333333333336</v>
      </c>
      <c r="O11" s="60"/>
      <c r="P11" s="60"/>
      <c r="Q11" s="61"/>
      <c r="R11" s="2"/>
      <c r="S11" s="2"/>
      <c r="T11" s="2"/>
      <c r="U11" s="7"/>
      <c r="V11" s="7"/>
      <c r="W11" s="22" t="s">
        <v>104</v>
      </c>
      <c r="X11" s="7"/>
    </row>
    <row r="12" spans="1:32" ht="14.4" customHeight="1">
      <c r="A12" s="12" t="s">
        <v>38</v>
      </c>
      <c r="B12" s="59" t="s">
        <v>39</v>
      </c>
      <c r="C12" s="60"/>
      <c r="D12" s="60"/>
      <c r="E12" s="61"/>
      <c r="F12" s="59">
        <f>ABS(MIN(B9,J9)+360*R6-MAX(B9,J9))</f>
        <v>119.88333333333333</v>
      </c>
      <c r="G12" s="60"/>
      <c r="H12" s="60"/>
      <c r="I12" s="61"/>
      <c r="J12" s="59" t="s">
        <v>40</v>
      </c>
      <c r="K12" s="60"/>
      <c r="L12" s="60"/>
      <c r="M12" s="61"/>
      <c r="N12" s="59">
        <f t="shared" ref="N12" si="1">ABS(MIN(F9,N9)+360*S6-MAX(F9,N9))</f>
        <v>120.05000000000001</v>
      </c>
      <c r="O12" s="60"/>
      <c r="P12" s="60"/>
      <c r="Q12" s="61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32" ht="14.4" customHeight="1">
      <c r="A13" s="122" t="s">
        <v>43</v>
      </c>
      <c r="B13" s="59">
        <v>1</v>
      </c>
      <c r="C13" s="60"/>
      <c r="D13" s="60"/>
      <c r="E13" s="61"/>
      <c r="F13" s="59">
        <f>(1/2)*(F10+N10)</f>
        <v>119.97499999999999</v>
      </c>
      <c r="G13" s="60"/>
      <c r="H13" s="60"/>
      <c r="I13" s="61"/>
      <c r="J13" s="123" t="s">
        <v>52</v>
      </c>
      <c r="K13" s="124"/>
      <c r="L13" s="124"/>
      <c r="M13" s="125"/>
      <c r="N13" s="59">
        <f>U4+W4/60</f>
        <v>119.97499999999999</v>
      </c>
      <c r="O13" s="60"/>
      <c r="P13" s="60"/>
      <c r="Q13" s="61"/>
      <c r="R13" s="136" t="s">
        <v>54</v>
      </c>
      <c r="S13" s="3">
        <f>N13*PI()/180</f>
        <v>2.0939587700801967</v>
      </c>
      <c r="T13" s="2"/>
      <c r="U13" s="7"/>
      <c r="V13" s="7"/>
      <c r="W13" s="7"/>
      <c r="X13" s="7"/>
      <c r="Y13" s="7"/>
      <c r="Z13" s="7"/>
      <c r="AA13" s="7"/>
      <c r="AB13" s="7"/>
    </row>
    <row r="14" spans="1:32" ht="14.4" customHeight="1">
      <c r="A14" s="118"/>
      <c r="B14" s="59">
        <v>2</v>
      </c>
      <c r="C14" s="60"/>
      <c r="D14" s="60"/>
      <c r="E14" s="60"/>
      <c r="F14" s="59">
        <f t="shared" ref="F14:F15" si="2">(1/2)*(F11+N11)</f>
        <v>119.97500000000002</v>
      </c>
      <c r="G14" s="60"/>
      <c r="H14" s="60"/>
      <c r="I14" s="61"/>
      <c r="J14" s="126"/>
      <c r="K14" s="127"/>
      <c r="L14" s="127"/>
      <c r="M14" s="128"/>
      <c r="N14" s="59">
        <f>U5+W5/60</f>
        <v>119.97500000000002</v>
      </c>
      <c r="O14" s="60"/>
      <c r="P14" s="60"/>
      <c r="Q14" s="61"/>
      <c r="R14" s="137"/>
      <c r="S14" s="3">
        <f t="shared" ref="S14:S18" si="3">N14*PI()/180</f>
        <v>2.0939587700801972</v>
      </c>
      <c r="T14" s="7"/>
      <c r="U14" s="7"/>
      <c r="V14" s="7"/>
      <c r="W14" s="7"/>
      <c r="X14" s="7"/>
      <c r="Y14" s="7"/>
      <c r="Z14" s="7"/>
      <c r="AA14" s="7"/>
      <c r="AB14" s="7"/>
    </row>
    <row r="15" spans="1:32" ht="14.4" customHeight="1">
      <c r="A15" s="119"/>
      <c r="B15" s="59">
        <v>3</v>
      </c>
      <c r="C15" s="60"/>
      <c r="D15" s="60"/>
      <c r="E15" s="61"/>
      <c r="F15" s="59">
        <f t="shared" si="2"/>
        <v>119.96666666666667</v>
      </c>
      <c r="G15" s="60"/>
      <c r="H15" s="60"/>
      <c r="I15" s="61"/>
      <c r="J15" s="129"/>
      <c r="K15" s="130"/>
      <c r="L15" s="130"/>
      <c r="M15" s="131"/>
      <c r="N15" s="59">
        <f>U6+W6/60</f>
        <v>119.96666666666667</v>
      </c>
      <c r="O15" s="60"/>
      <c r="P15" s="60"/>
      <c r="Q15" s="61"/>
      <c r="R15" s="137"/>
      <c r="S15" s="3">
        <f t="shared" si="3"/>
        <v>2.093813325975864</v>
      </c>
      <c r="T15" s="3" t="s">
        <v>89</v>
      </c>
      <c r="U15" s="7"/>
      <c r="V15" s="7"/>
      <c r="W15" s="7"/>
      <c r="X15" s="7"/>
      <c r="Y15" s="7"/>
      <c r="Z15" s="7"/>
      <c r="AA15" s="7"/>
      <c r="AB15" s="7"/>
    </row>
    <row r="16" spans="1:32">
      <c r="A16" s="117" t="s">
        <v>44</v>
      </c>
      <c r="B16" s="59">
        <v>1</v>
      </c>
      <c r="C16" s="60"/>
      <c r="D16" s="60"/>
      <c r="E16" s="61"/>
      <c r="F16" s="59">
        <f>180-F13</f>
        <v>60.025000000000006</v>
      </c>
      <c r="G16" s="60"/>
      <c r="H16" s="60"/>
      <c r="I16" s="61"/>
      <c r="J16" s="123" t="s">
        <v>53</v>
      </c>
      <c r="K16" s="124"/>
      <c r="L16" s="124"/>
      <c r="M16" s="125"/>
      <c r="N16" s="59">
        <f>Y4+AA4/60</f>
        <v>60.025000000000006</v>
      </c>
      <c r="O16" s="60"/>
      <c r="P16" s="60"/>
      <c r="Q16" s="61"/>
      <c r="R16" s="138" t="s">
        <v>55</v>
      </c>
      <c r="S16" s="3">
        <f>N16*PI()/180</f>
        <v>1.0476338835095964</v>
      </c>
      <c r="T16" s="44">
        <f>T18*180/PI()</f>
        <v>60.027777777777779</v>
      </c>
    </row>
    <row r="17" spans="1:20">
      <c r="A17" s="118"/>
      <c r="B17" s="59">
        <v>2</v>
      </c>
      <c r="C17" s="60"/>
      <c r="D17" s="60"/>
      <c r="E17" s="60"/>
      <c r="F17" s="59">
        <f t="shared" ref="F17:F18" si="4">180-F14</f>
        <v>60.024999999999977</v>
      </c>
      <c r="G17" s="60"/>
      <c r="H17" s="60"/>
      <c r="I17" s="61"/>
      <c r="J17" s="126"/>
      <c r="K17" s="127"/>
      <c r="L17" s="127"/>
      <c r="M17" s="128"/>
      <c r="N17" s="59">
        <f>Y5+AA5/60</f>
        <v>60.024999999999977</v>
      </c>
      <c r="O17" s="60"/>
      <c r="P17" s="60"/>
      <c r="Q17" s="61"/>
      <c r="R17" s="139"/>
      <c r="S17" s="3">
        <f t="shared" si="3"/>
        <v>1.047633883509596</v>
      </c>
      <c r="T17" s="3" t="s">
        <v>90</v>
      </c>
    </row>
    <row r="18" spans="1:20">
      <c r="A18" s="119"/>
      <c r="B18" s="62">
        <v>3</v>
      </c>
      <c r="C18" s="120"/>
      <c r="D18" s="120"/>
      <c r="E18" s="121"/>
      <c r="F18" s="59">
        <f t="shared" si="4"/>
        <v>60.033333333333331</v>
      </c>
      <c r="G18" s="60"/>
      <c r="H18" s="60"/>
      <c r="I18" s="61"/>
      <c r="J18" s="129"/>
      <c r="K18" s="130"/>
      <c r="L18" s="130"/>
      <c r="M18" s="131"/>
      <c r="N18" s="59">
        <f>Y6+AA6/60</f>
        <v>60.033333333333331</v>
      </c>
      <c r="O18" s="60"/>
      <c r="P18" s="60"/>
      <c r="Q18" s="61"/>
      <c r="R18" s="139"/>
      <c r="S18" s="3">
        <f t="shared" si="3"/>
        <v>1.0477793276139291</v>
      </c>
      <c r="T18" s="44">
        <f>AVERAGE(S16:S18)</f>
        <v>1.0476823648777072</v>
      </c>
    </row>
    <row r="19" spans="1:20">
      <c r="A19" s="47" t="s">
        <v>88</v>
      </c>
      <c r="B19" s="120">
        <f>Y8+AA8/60</f>
        <v>60.016666666666666</v>
      </c>
      <c r="C19" s="120"/>
      <c r="D19" s="120"/>
      <c r="E19" s="120"/>
      <c r="F19" s="2"/>
      <c r="G19" s="2"/>
      <c r="H19" s="2"/>
      <c r="I19" s="2"/>
      <c r="J19" s="14"/>
      <c r="K19" s="14"/>
      <c r="L19" s="14"/>
      <c r="M19" s="14"/>
      <c r="N19" s="2"/>
      <c r="O19" s="2"/>
      <c r="P19" s="2"/>
      <c r="Q19" s="2"/>
      <c r="R19" s="133" t="s">
        <v>75</v>
      </c>
      <c r="S19" s="3">
        <f>(S16-$B$20)^2/2</f>
        <v>1.0576993742603496E-8</v>
      </c>
      <c r="T19" s="7"/>
    </row>
    <row r="20" spans="1:20">
      <c r="A20" s="1" t="s">
        <v>56</v>
      </c>
      <c r="B20" s="102">
        <f>B19*PI()/180</f>
        <v>1.0474884394052635</v>
      </c>
      <c r="C20" s="102"/>
      <c r="D20" s="102"/>
      <c r="E20" s="10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134"/>
      <c r="S20" s="3">
        <f>(S17-$B$20)^2/2</f>
        <v>1.0576993742538907E-8</v>
      </c>
    </row>
    <row r="21" spans="1:20">
      <c r="A21" s="29" t="s">
        <v>57</v>
      </c>
      <c r="B21" s="102">
        <f>SQRT(SUM(S19:S21))</f>
        <v>2.5191657836571972E-4</v>
      </c>
      <c r="C21" s="102"/>
      <c r="D21" s="102"/>
      <c r="E21" s="10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135"/>
      <c r="S21" s="3">
        <f>(S18-$B$20)^2/2</f>
        <v>4.2307974970349399E-8</v>
      </c>
    </row>
    <row r="22" spans="1:20">
      <c r="A22" s="1" t="s">
        <v>58</v>
      </c>
      <c r="B22" s="102">
        <f>B21/SQRT(3)</f>
        <v>1.4544410433277774E-4</v>
      </c>
      <c r="C22" s="102"/>
      <c r="D22" s="102"/>
      <c r="E22" s="10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 t="s">
        <v>59</v>
      </c>
      <c r="S22" s="22">
        <v>1.32</v>
      </c>
    </row>
    <row r="23" spans="1:20">
      <c r="A23" s="1" t="s">
        <v>61</v>
      </c>
      <c r="B23" s="102">
        <f>S22*B22</f>
        <v>1.9198621771926663E-4</v>
      </c>
      <c r="C23" s="102"/>
      <c r="D23" s="102"/>
      <c r="E23" s="10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42" t="s">
        <v>60</v>
      </c>
      <c r="S23" s="42"/>
    </row>
    <row r="24" spans="1:20">
      <c r="A24" s="1" t="s">
        <v>65</v>
      </c>
      <c r="B24" s="102">
        <f>SQRT(B23^2+S25^2)</f>
        <v>6.1263570542138596E-4</v>
      </c>
      <c r="C24" s="102"/>
      <c r="D24" s="102"/>
      <c r="E24" s="10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 t="s">
        <v>62</v>
      </c>
      <c r="S24" s="22">
        <f>2/60</f>
        <v>3.3333333333333333E-2</v>
      </c>
    </row>
    <row r="25" spans="1:20">
      <c r="A25" s="1" t="s">
        <v>64</v>
      </c>
      <c r="B25" s="102">
        <f>B24*180/PI()</f>
        <v>3.510144029966538E-2</v>
      </c>
      <c r="C25" s="102"/>
      <c r="D25" s="102"/>
      <c r="E25" s="10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 t="s">
        <v>63</v>
      </c>
      <c r="S25" s="22">
        <f>S24*PI()/180</f>
        <v>5.8177641733144316E-4</v>
      </c>
    </row>
    <row r="26" spans="1:20"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</row>
    <row r="27" spans="1:20">
      <c r="B27" s="132"/>
      <c r="C27" s="132"/>
      <c r="D27" s="132"/>
      <c r="E27" s="13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20">
      <c r="A28" s="1" t="s">
        <v>67</v>
      </c>
      <c r="B28" s="102">
        <f>Y9+AA9/60</f>
        <v>3.3333333333333333E-2</v>
      </c>
      <c r="C28" s="102"/>
      <c r="D28" s="102"/>
      <c r="E28" s="10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</row>
    <row r="29" spans="1:20">
      <c r="A29" s="1" t="s">
        <v>68</v>
      </c>
      <c r="B29" s="102">
        <f>B28*PI()/180</f>
        <v>5.8177641733144316E-4</v>
      </c>
      <c r="C29" s="102"/>
      <c r="D29" s="102"/>
      <c r="E29" s="10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20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20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20"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2"/>
      <c r="Q32" s="22"/>
      <c r="R32" s="22"/>
      <c r="S32" s="22"/>
    </row>
    <row r="33" spans="2:19">
      <c r="B33" s="22"/>
      <c r="C33" s="22"/>
      <c r="D33" s="22"/>
      <c r="E33" s="22"/>
      <c r="F33" s="22"/>
      <c r="G33" s="22"/>
      <c r="H33" s="22"/>
      <c r="I33" s="22"/>
      <c r="J33" s="22"/>
      <c r="K33" s="22"/>
      <c r="L33" s="22"/>
      <c r="M33" s="22"/>
      <c r="N33" s="22"/>
      <c r="O33" s="22"/>
      <c r="P33" s="22"/>
      <c r="Q33" s="22"/>
      <c r="R33" s="22"/>
      <c r="S33" s="22"/>
    </row>
    <row r="34" spans="2:19">
      <c r="B34" s="22"/>
      <c r="C34" s="22"/>
      <c r="D34" s="22"/>
      <c r="E34" s="22"/>
      <c r="F34" s="22"/>
      <c r="G34" s="22"/>
      <c r="H34" s="22"/>
      <c r="I34" s="22"/>
      <c r="J34" s="22"/>
      <c r="K34" s="22"/>
      <c r="L34" s="22"/>
      <c r="M34" s="22"/>
      <c r="N34" s="22"/>
      <c r="O34" s="22"/>
      <c r="P34" s="22"/>
      <c r="Q34" s="22"/>
      <c r="R34" s="22"/>
      <c r="S34" s="22"/>
    </row>
    <row r="35" spans="2:1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1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2:1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2:1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2:1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  <row r="40" spans="2:19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</row>
    <row r="41" spans="2:19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</row>
    <row r="42" spans="2:19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</row>
  </sheetData>
  <mergeCells count="84">
    <mergeCell ref="B29:E29"/>
    <mergeCell ref="W8:X8"/>
    <mergeCell ref="B23:E23"/>
    <mergeCell ref="B24:E24"/>
    <mergeCell ref="B25:E25"/>
    <mergeCell ref="B27:E27"/>
    <mergeCell ref="W9:X9"/>
    <mergeCell ref="B28:E28"/>
    <mergeCell ref="R19:R21"/>
    <mergeCell ref="B19:E19"/>
    <mergeCell ref="B22:E22"/>
    <mergeCell ref="N18:Q18"/>
    <mergeCell ref="R13:R15"/>
    <mergeCell ref="R16:R18"/>
    <mergeCell ref="B20:E20"/>
    <mergeCell ref="B21:E21"/>
    <mergeCell ref="J13:M15"/>
    <mergeCell ref="J16:M18"/>
    <mergeCell ref="N16:Q16"/>
    <mergeCell ref="N17:Q17"/>
    <mergeCell ref="B14:E14"/>
    <mergeCell ref="B15:E15"/>
    <mergeCell ref="F15:I15"/>
    <mergeCell ref="N15:Q15"/>
    <mergeCell ref="B13:E13"/>
    <mergeCell ref="F13:I13"/>
    <mergeCell ref="N13:Q13"/>
    <mergeCell ref="F14:I14"/>
    <mergeCell ref="N14:Q14"/>
    <mergeCell ref="J9:M9"/>
    <mergeCell ref="N9:Q9"/>
    <mergeCell ref="J12:M12"/>
    <mergeCell ref="N12:Q12"/>
    <mergeCell ref="J10:M10"/>
    <mergeCell ref="N10:Q10"/>
    <mergeCell ref="J11:M11"/>
    <mergeCell ref="N11:Q11"/>
    <mergeCell ref="B9:E9"/>
    <mergeCell ref="F9:I9"/>
    <mergeCell ref="A16:A18"/>
    <mergeCell ref="B16:E16"/>
    <mergeCell ref="F16:I16"/>
    <mergeCell ref="B18:E18"/>
    <mergeCell ref="F18:I18"/>
    <mergeCell ref="B17:E17"/>
    <mergeCell ref="F17:I17"/>
    <mergeCell ref="B12:E12"/>
    <mergeCell ref="F12:I12"/>
    <mergeCell ref="B10:E10"/>
    <mergeCell ref="F10:I10"/>
    <mergeCell ref="B11:E11"/>
    <mergeCell ref="F11:I11"/>
    <mergeCell ref="A13:A15"/>
    <mergeCell ref="Y3:Z3"/>
    <mergeCell ref="AA3:AB3"/>
    <mergeCell ref="Y1:AB2"/>
    <mergeCell ref="A1:A3"/>
    <mergeCell ref="B1:I1"/>
    <mergeCell ref="J1:Q1"/>
    <mergeCell ref="L3:M3"/>
    <mergeCell ref="N3:O3"/>
    <mergeCell ref="P3:Q3"/>
    <mergeCell ref="R1:S2"/>
    <mergeCell ref="B3:C3"/>
    <mergeCell ref="D3:E3"/>
    <mergeCell ref="F3:G3"/>
    <mergeCell ref="H3:I3"/>
    <mergeCell ref="J3:K3"/>
    <mergeCell ref="U1:X2"/>
    <mergeCell ref="B7:E7"/>
    <mergeCell ref="F7:I7"/>
    <mergeCell ref="J7:M7"/>
    <mergeCell ref="N7:Q7"/>
    <mergeCell ref="B8:E8"/>
    <mergeCell ref="F8:I8"/>
    <mergeCell ref="J8:M8"/>
    <mergeCell ref="N8:Q8"/>
    <mergeCell ref="W3:X3"/>
    <mergeCell ref="U3:V3"/>
    <mergeCell ref="B2:E2"/>
    <mergeCell ref="F2:I2"/>
    <mergeCell ref="J2:M2"/>
    <mergeCell ref="N2:Q2"/>
    <mergeCell ref="T1:T3"/>
  </mergeCells>
  <phoneticPr fontId="1" type="noConversion"/>
  <conditionalFormatting sqref="T4:T6">
    <cfRule type="cellIs" dxfId="5" priority="1" operator="equal">
      <formula>"请检查过零"</formula>
    </cfRule>
    <cfRule type="cellIs" dxfId="4" priority="2" operator="equal">
      <formula>1</formula>
    </cfRule>
    <cfRule type="cellIs" dxfId="3" priority="3" operator="equal">
      <formula>0</formula>
    </cfRule>
  </conditionalFormatting>
  <dataValidations count="1">
    <dataValidation type="whole" allowBlank="1" showInputMessage="1" showErrorMessage="1" sqref="R4:T6" xr:uid="{6865A5E3-CEA8-4798-9B4F-587CCFC2112F}">
      <formula1>0</formula1>
      <formula2>1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179CD-CC8F-4ED5-98E4-425CF8A5FAF2}">
  <dimension ref="A1:AB39"/>
  <sheetViews>
    <sheetView zoomScaleNormal="100" workbookViewId="0">
      <selection sqref="A1:A3"/>
    </sheetView>
  </sheetViews>
  <sheetFormatPr defaultRowHeight="14.4"/>
  <cols>
    <col min="1" max="1" width="16.44140625" style="1" customWidth="1"/>
    <col min="2" max="2" width="4.21875" style="1" customWidth="1"/>
    <col min="3" max="3" width="2.109375" style="1" customWidth="1"/>
    <col min="4" max="4" width="2.88671875" style="1" customWidth="1"/>
    <col min="5" max="5" width="2.21875" style="1" customWidth="1"/>
    <col min="6" max="6" width="4.21875" style="1" customWidth="1"/>
    <col min="7" max="7" width="2.109375" style="1" customWidth="1"/>
    <col min="8" max="8" width="2.88671875" style="1" customWidth="1"/>
    <col min="9" max="9" width="2.21875" style="1" customWidth="1"/>
    <col min="10" max="10" width="4.21875" style="1" customWidth="1"/>
    <col min="11" max="11" width="2.109375" style="1" customWidth="1"/>
    <col min="12" max="12" width="2.88671875" style="1" customWidth="1"/>
    <col min="13" max="13" width="2.21875" style="1" customWidth="1"/>
    <col min="14" max="14" width="4.21875" style="1" customWidth="1"/>
    <col min="15" max="15" width="2.109375" style="1" customWidth="1"/>
    <col min="16" max="16" width="2.88671875" style="1" customWidth="1"/>
    <col min="17" max="17" width="2.21875" style="1" customWidth="1"/>
    <col min="18" max="18" width="10.44140625" style="1" customWidth="1"/>
    <col min="19" max="19" width="9.44140625" style="1" customWidth="1"/>
    <col min="20" max="20" width="12.6640625" style="1" customWidth="1"/>
    <col min="21" max="21" width="4.21875" style="1" customWidth="1"/>
    <col min="22" max="22" width="2.109375" style="1" customWidth="1"/>
    <col min="23" max="23" width="7.21875" style="1" customWidth="1"/>
    <col min="24" max="24" width="1.77734375" style="1" customWidth="1"/>
    <col min="25" max="25" width="6.77734375" style="1" customWidth="1"/>
    <col min="26" max="26" width="2.77734375" style="1" customWidth="1"/>
    <col min="27" max="16384" width="8.88671875" style="1"/>
  </cols>
  <sheetData>
    <row r="1" spans="1:28" ht="14.4" customHeight="1">
      <c r="A1" s="111" t="s">
        <v>24</v>
      </c>
      <c r="B1" s="112" t="s">
        <v>29</v>
      </c>
      <c r="C1" s="112"/>
      <c r="D1" s="112"/>
      <c r="E1" s="112"/>
      <c r="F1" s="112"/>
      <c r="G1" s="112"/>
      <c r="H1" s="112"/>
      <c r="I1" s="112"/>
      <c r="J1" s="112" t="s">
        <v>30</v>
      </c>
      <c r="K1" s="112"/>
      <c r="L1" s="112"/>
      <c r="M1" s="112"/>
      <c r="N1" s="112"/>
      <c r="O1" s="112"/>
      <c r="P1" s="112"/>
      <c r="Q1" s="112"/>
      <c r="R1" s="113" t="s">
        <v>32</v>
      </c>
      <c r="S1" s="114"/>
      <c r="T1" s="108" t="s">
        <v>42</v>
      </c>
      <c r="U1" s="70" t="s">
        <v>31</v>
      </c>
      <c r="V1" s="70"/>
      <c r="W1" s="70"/>
      <c r="X1" s="70"/>
    </row>
    <row r="2" spans="1:28" ht="14.4" customHeight="1">
      <c r="A2" s="111"/>
      <c r="B2" s="70" t="s">
        <v>25</v>
      </c>
      <c r="C2" s="70"/>
      <c r="D2" s="70"/>
      <c r="E2" s="70"/>
      <c r="F2" s="70" t="s">
        <v>26</v>
      </c>
      <c r="G2" s="70"/>
      <c r="H2" s="70"/>
      <c r="I2" s="70"/>
      <c r="J2" s="70" t="s">
        <v>27</v>
      </c>
      <c r="K2" s="70"/>
      <c r="L2" s="70"/>
      <c r="M2" s="70"/>
      <c r="N2" s="70" t="s">
        <v>28</v>
      </c>
      <c r="O2" s="70"/>
      <c r="P2" s="70"/>
      <c r="Q2" s="70"/>
      <c r="R2" s="115"/>
      <c r="S2" s="116"/>
      <c r="T2" s="109"/>
      <c r="U2" s="70"/>
      <c r="V2" s="70"/>
      <c r="W2" s="70"/>
      <c r="X2" s="70"/>
    </row>
    <row r="3" spans="1:28" ht="14.4" customHeight="1">
      <c r="A3" s="111"/>
      <c r="B3" s="86" t="s">
        <v>0</v>
      </c>
      <c r="C3" s="86"/>
      <c r="D3" s="86" t="s">
        <v>1</v>
      </c>
      <c r="E3" s="86"/>
      <c r="F3" s="86" t="s">
        <v>0</v>
      </c>
      <c r="G3" s="86"/>
      <c r="H3" s="86" t="s">
        <v>1</v>
      </c>
      <c r="I3" s="86"/>
      <c r="J3" s="86" t="s">
        <v>0</v>
      </c>
      <c r="K3" s="86"/>
      <c r="L3" s="86" t="s">
        <v>1</v>
      </c>
      <c r="M3" s="86"/>
      <c r="N3" s="86" t="s">
        <v>0</v>
      </c>
      <c r="O3" s="86"/>
      <c r="P3" s="86" t="s">
        <v>1</v>
      </c>
      <c r="Q3" s="86"/>
      <c r="R3" s="12" t="s">
        <v>33</v>
      </c>
      <c r="S3" s="12" t="s">
        <v>34</v>
      </c>
      <c r="T3" s="110"/>
      <c r="U3" s="86" t="s">
        <v>0</v>
      </c>
      <c r="V3" s="86"/>
      <c r="W3" s="59" t="s">
        <v>1</v>
      </c>
      <c r="X3" s="61"/>
    </row>
    <row r="4" spans="1:28" ht="14.4" customHeight="1">
      <c r="A4" s="13">
        <v>1</v>
      </c>
      <c r="B4" s="10">
        <v>57</v>
      </c>
      <c r="C4" s="8" t="s">
        <v>2</v>
      </c>
      <c r="D4" s="11">
        <v>45</v>
      </c>
      <c r="E4" s="6" t="s">
        <v>3</v>
      </c>
      <c r="F4" s="11">
        <v>237</v>
      </c>
      <c r="G4" s="8" t="s">
        <v>2</v>
      </c>
      <c r="H4" s="11">
        <v>49</v>
      </c>
      <c r="I4" s="6" t="s">
        <v>3</v>
      </c>
      <c r="J4" s="11">
        <v>297</v>
      </c>
      <c r="K4" s="8" t="s">
        <v>2</v>
      </c>
      <c r="L4" s="11">
        <v>50</v>
      </c>
      <c r="M4" s="6" t="s">
        <v>3</v>
      </c>
      <c r="N4" s="11">
        <v>117</v>
      </c>
      <c r="O4" s="8" t="s">
        <v>2</v>
      </c>
      <c r="P4" s="11">
        <v>44</v>
      </c>
      <c r="Q4" s="6" t="s">
        <v>3</v>
      </c>
      <c r="R4" s="16">
        <v>1</v>
      </c>
      <c r="S4" s="16">
        <v>0</v>
      </c>
      <c r="T4" s="3">
        <f>IF(AND(ABS(F10-N10)&lt;5,F13-AVERAGE($F$13:$I$15)&lt;1),0,"请检查过零")</f>
        <v>0</v>
      </c>
      <c r="U4" s="34">
        <f>_xlfn.FLOOR.MATH(F13)</f>
        <v>60</v>
      </c>
      <c r="V4" s="21" t="s">
        <v>2</v>
      </c>
      <c r="W4" s="24">
        <f>(F13-U4)*60</f>
        <v>0</v>
      </c>
      <c r="X4" s="55" t="s">
        <v>3</v>
      </c>
    </row>
    <row r="5" spans="1:28" ht="14.4" customHeight="1">
      <c r="A5" s="13">
        <v>2</v>
      </c>
      <c r="B5" s="10">
        <v>61</v>
      </c>
      <c r="C5" s="8" t="s">
        <v>2</v>
      </c>
      <c r="D5" s="11">
        <v>14</v>
      </c>
      <c r="E5" s="6" t="s">
        <v>3</v>
      </c>
      <c r="F5" s="11">
        <v>241</v>
      </c>
      <c r="G5" s="8" t="s">
        <v>2</v>
      </c>
      <c r="H5" s="11">
        <v>18</v>
      </c>
      <c r="I5" s="6" t="s">
        <v>3</v>
      </c>
      <c r="J5" s="11">
        <v>301</v>
      </c>
      <c r="K5" s="8" t="s">
        <v>2</v>
      </c>
      <c r="L5" s="11">
        <v>18</v>
      </c>
      <c r="M5" s="6" t="s">
        <v>3</v>
      </c>
      <c r="N5" s="11">
        <v>121</v>
      </c>
      <c r="O5" s="8" t="s">
        <v>2</v>
      </c>
      <c r="P5" s="11">
        <v>14</v>
      </c>
      <c r="Q5" s="6" t="s">
        <v>3</v>
      </c>
      <c r="R5" s="16">
        <v>1</v>
      </c>
      <c r="S5" s="16">
        <v>0</v>
      </c>
      <c r="T5" s="3">
        <f t="shared" ref="T5:T6" si="0">IF(AND(ABS(F11-N11)&lt;5,F14-AVERAGE($F$13:$I$15)&lt;1),0,"请检查过零")</f>
        <v>0</v>
      </c>
      <c r="U5" s="34">
        <f t="shared" ref="U5:U6" si="1">_xlfn.FLOOR.MATH(F14)</f>
        <v>60</v>
      </c>
      <c r="V5" s="21" t="s">
        <v>2</v>
      </c>
      <c r="W5" s="24">
        <f>(F14-U5)*60</f>
        <v>0</v>
      </c>
      <c r="X5" s="55" t="s">
        <v>3</v>
      </c>
    </row>
    <row r="6" spans="1:28" ht="14.4" customHeight="1">
      <c r="A6" s="13">
        <v>3</v>
      </c>
      <c r="B6" s="10">
        <v>62</v>
      </c>
      <c r="C6" s="8" t="s">
        <v>2</v>
      </c>
      <c r="D6" s="11">
        <v>26</v>
      </c>
      <c r="E6" s="6" t="s">
        <v>3</v>
      </c>
      <c r="F6" s="11">
        <v>242</v>
      </c>
      <c r="G6" s="8" t="s">
        <v>2</v>
      </c>
      <c r="H6" s="11">
        <v>30</v>
      </c>
      <c r="I6" s="6" t="s">
        <v>3</v>
      </c>
      <c r="J6" s="11">
        <v>302</v>
      </c>
      <c r="K6" s="8" t="s">
        <v>2</v>
      </c>
      <c r="L6" s="11">
        <v>31</v>
      </c>
      <c r="M6" s="6" t="s">
        <v>3</v>
      </c>
      <c r="N6" s="11">
        <v>122</v>
      </c>
      <c r="O6" s="8" t="s">
        <v>2</v>
      </c>
      <c r="P6" s="11">
        <v>28</v>
      </c>
      <c r="Q6" s="6" t="s">
        <v>3</v>
      </c>
      <c r="R6" s="16">
        <v>1</v>
      </c>
      <c r="S6" s="16">
        <v>0</v>
      </c>
      <c r="T6" s="3">
        <f t="shared" si="0"/>
        <v>0</v>
      </c>
      <c r="U6" s="34">
        <f t="shared" si="1"/>
        <v>59</v>
      </c>
      <c r="V6" s="21" t="s">
        <v>2</v>
      </c>
      <c r="W6" s="24">
        <f>(F15-U6)*60</f>
        <v>59.250000000000256</v>
      </c>
      <c r="X6" s="55" t="s">
        <v>3</v>
      </c>
    </row>
    <row r="7" spans="1:28" ht="14.4" customHeight="1">
      <c r="A7" s="15">
        <v>1</v>
      </c>
      <c r="B7" s="59">
        <f>B4+D4/60</f>
        <v>57.75</v>
      </c>
      <c r="C7" s="60"/>
      <c r="D7" s="60"/>
      <c r="E7" s="61"/>
      <c r="F7" s="59">
        <f>F4+H4/60</f>
        <v>237.81666666666666</v>
      </c>
      <c r="G7" s="60"/>
      <c r="H7" s="60"/>
      <c r="I7" s="61"/>
      <c r="J7" s="59">
        <f>J4+L4/60</f>
        <v>297.83333333333331</v>
      </c>
      <c r="K7" s="60"/>
      <c r="L7" s="60"/>
      <c r="M7" s="61"/>
      <c r="N7" s="59">
        <f>N4+P4/60</f>
        <v>117.73333333333333</v>
      </c>
      <c r="O7" s="60"/>
      <c r="P7" s="60"/>
      <c r="Q7" s="61"/>
      <c r="R7" s="2"/>
      <c r="S7" s="2"/>
      <c r="T7" s="2"/>
      <c r="U7" s="7"/>
      <c r="V7" s="7"/>
      <c r="W7" s="7"/>
      <c r="X7" s="7"/>
    </row>
    <row r="8" spans="1:28" ht="14.4" customHeight="1">
      <c r="A8" s="12">
        <v>2</v>
      </c>
      <c r="B8" s="59">
        <f>B5+D5/60</f>
        <v>61.233333333333334</v>
      </c>
      <c r="C8" s="60"/>
      <c r="D8" s="60"/>
      <c r="E8" s="61"/>
      <c r="F8" s="59">
        <f>F5+H5/60</f>
        <v>241.3</v>
      </c>
      <c r="G8" s="60"/>
      <c r="H8" s="60"/>
      <c r="I8" s="61"/>
      <c r="J8" s="59">
        <f>J5+L5/60</f>
        <v>301.3</v>
      </c>
      <c r="K8" s="60"/>
      <c r="L8" s="60"/>
      <c r="M8" s="61"/>
      <c r="N8" s="59">
        <f>N5+P5/60</f>
        <v>121.23333333333333</v>
      </c>
      <c r="O8" s="60"/>
      <c r="P8" s="60"/>
      <c r="Q8" s="61"/>
      <c r="R8" s="2"/>
      <c r="S8" s="2"/>
      <c r="T8" s="41" t="s">
        <v>72</v>
      </c>
      <c r="U8" s="20">
        <f>_xlfn.FLOOR.MATH(T14)</f>
        <v>59</v>
      </c>
      <c r="V8" s="21" t="s">
        <v>2</v>
      </c>
      <c r="W8" s="24">
        <f>_xlfn.FLOOR.MATH((T14-U8)*60)</f>
        <v>59</v>
      </c>
      <c r="X8" s="21" t="s">
        <v>3</v>
      </c>
      <c r="Y8" s="24">
        <f>((T14-U8)*60-W8)*60</f>
        <v>45.000000000013642</v>
      </c>
      <c r="Z8" s="56" t="s">
        <v>102</v>
      </c>
    </row>
    <row r="9" spans="1:28" ht="14.4" customHeight="1">
      <c r="A9" s="12">
        <v>3</v>
      </c>
      <c r="B9" s="59">
        <f>B6+D6/60</f>
        <v>62.43333333333333</v>
      </c>
      <c r="C9" s="60"/>
      <c r="D9" s="60"/>
      <c r="E9" s="61"/>
      <c r="F9" s="59">
        <f>F6+H6/60</f>
        <v>242.5</v>
      </c>
      <c r="G9" s="60"/>
      <c r="H9" s="60"/>
      <c r="I9" s="61"/>
      <c r="J9" s="59">
        <f>J6+L6/60</f>
        <v>302.51666666666665</v>
      </c>
      <c r="K9" s="60"/>
      <c r="L9" s="60"/>
      <c r="M9" s="61"/>
      <c r="N9" s="59">
        <f>N6+P6/60</f>
        <v>122.46666666666667</v>
      </c>
      <c r="O9" s="60"/>
      <c r="P9" s="60"/>
      <c r="Q9" s="61"/>
      <c r="R9" s="2"/>
      <c r="S9" s="2"/>
      <c r="T9" s="48" t="s">
        <v>66</v>
      </c>
      <c r="U9" s="20">
        <f>_xlfn.FLOOR.MATH(B22)</f>
        <v>0</v>
      </c>
      <c r="V9" s="21" t="s">
        <v>2</v>
      </c>
      <c r="W9" s="24">
        <f>_xlfn.FLOOR.MATH((B22-U9)*60)</f>
        <v>2</v>
      </c>
      <c r="X9" s="21" t="s">
        <v>3</v>
      </c>
      <c r="Y9" s="24">
        <f>((B22-U9)*60-W9)*60</f>
        <v>8.6709757482196537</v>
      </c>
      <c r="Z9" s="56" t="s">
        <v>102</v>
      </c>
      <c r="AB9" s="1" t="s">
        <v>103</v>
      </c>
    </row>
    <row r="10" spans="1:28" ht="14.4" customHeight="1">
      <c r="A10" s="12" t="s">
        <v>36</v>
      </c>
      <c r="B10" s="59" t="s">
        <v>39</v>
      </c>
      <c r="C10" s="60"/>
      <c r="D10" s="60"/>
      <c r="E10" s="61"/>
      <c r="F10" s="59">
        <f>ABS(MIN(B7,J7)+360*R4-MAX(B7,J7))</f>
        <v>119.91666666666669</v>
      </c>
      <c r="G10" s="60"/>
      <c r="H10" s="60"/>
      <c r="I10" s="61"/>
      <c r="J10" s="59" t="s">
        <v>41</v>
      </c>
      <c r="K10" s="60"/>
      <c r="L10" s="60"/>
      <c r="M10" s="61"/>
      <c r="N10" s="59">
        <f>ABS(MIN(F7,N7)+360*S4-MAX(F7,N7))</f>
        <v>120.08333333333333</v>
      </c>
      <c r="O10" s="60"/>
      <c r="P10" s="60"/>
      <c r="Q10" s="61"/>
      <c r="R10" s="2"/>
      <c r="S10" s="2"/>
      <c r="T10" s="2"/>
      <c r="U10" s="7"/>
      <c r="V10" s="7"/>
      <c r="W10" s="7"/>
      <c r="X10" s="7"/>
    </row>
    <row r="11" spans="1:28" ht="14.4" customHeight="1">
      <c r="A11" s="12" t="s">
        <v>37</v>
      </c>
      <c r="B11" s="59" t="s">
        <v>39</v>
      </c>
      <c r="C11" s="60"/>
      <c r="D11" s="60"/>
      <c r="E11" s="61"/>
      <c r="F11" s="59">
        <f>ABS(MIN(B8,J8)+360*R5-MAX(B8,J8))</f>
        <v>119.93333333333334</v>
      </c>
      <c r="G11" s="60"/>
      <c r="H11" s="60"/>
      <c r="I11" s="61"/>
      <c r="J11" s="59" t="s">
        <v>41</v>
      </c>
      <c r="K11" s="60"/>
      <c r="L11" s="60"/>
      <c r="M11" s="61"/>
      <c r="N11" s="59">
        <f>ABS(MIN(F8,N8)+360*S5-MAX(F8,N8))</f>
        <v>120.06666666666668</v>
      </c>
      <c r="O11" s="60"/>
      <c r="P11" s="60"/>
      <c r="Q11" s="61"/>
      <c r="R11" s="2"/>
      <c r="S11" s="2"/>
      <c r="T11" s="22" t="s">
        <v>104</v>
      </c>
      <c r="U11" s="7"/>
      <c r="V11" s="7"/>
      <c r="W11" s="7"/>
      <c r="X11" s="7"/>
    </row>
    <row r="12" spans="1:28" ht="14.4" customHeight="1">
      <c r="A12" s="12" t="s">
        <v>38</v>
      </c>
      <c r="B12" s="59" t="s">
        <v>39</v>
      </c>
      <c r="C12" s="60"/>
      <c r="D12" s="60"/>
      <c r="E12" s="61"/>
      <c r="F12" s="59">
        <f>ABS(MIN(B9,J9)+360*R6-MAX(B9,J9))</f>
        <v>119.91666666666669</v>
      </c>
      <c r="G12" s="60"/>
      <c r="H12" s="60"/>
      <c r="I12" s="61"/>
      <c r="J12" s="59" t="s">
        <v>40</v>
      </c>
      <c r="K12" s="60"/>
      <c r="L12" s="60"/>
      <c r="M12" s="61"/>
      <c r="N12" s="59">
        <f t="shared" ref="N12" si="2">ABS(MIN(F9,N9)+360*S6-MAX(F9,N9))</f>
        <v>120.03333333333333</v>
      </c>
      <c r="O12" s="60"/>
      <c r="P12" s="60"/>
      <c r="Q12" s="61"/>
      <c r="R12" s="2"/>
      <c r="S12" s="2"/>
      <c r="U12" s="2"/>
      <c r="V12" s="2"/>
      <c r="W12" s="2"/>
      <c r="X12" s="2"/>
    </row>
    <row r="13" spans="1:28">
      <c r="A13" s="117" t="s">
        <v>44</v>
      </c>
      <c r="B13" s="59">
        <v>1</v>
      </c>
      <c r="C13" s="60"/>
      <c r="D13" s="60"/>
      <c r="E13" s="61"/>
      <c r="F13" s="59">
        <f>(1/4)*(F10+N10)</f>
        <v>60</v>
      </c>
      <c r="G13" s="60"/>
      <c r="H13" s="60"/>
      <c r="I13" s="61"/>
      <c r="J13" s="123" t="s">
        <v>53</v>
      </c>
      <c r="K13" s="124"/>
      <c r="L13" s="124"/>
      <c r="M13" s="125"/>
      <c r="N13" s="59">
        <f>U4+W4/60</f>
        <v>60</v>
      </c>
      <c r="O13" s="60"/>
      <c r="P13" s="60"/>
      <c r="Q13" s="61"/>
      <c r="R13" s="138" t="s">
        <v>55</v>
      </c>
      <c r="S13" s="3">
        <f>N13*PI()/180</f>
        <v>1.0471975511965976</v>
      </c>
      <c r="T13" s="3" t="s">
        <v>89</v>
      </c>
    </row>
    <row r="14" spans="1:28">
      <c r="A14" s="118"/>
      <c r="B14" s="59">
        <v>2</v>
      </c>
      <c r="C14" s="60"/>
      <c r="D14" s="60"/>
      <c r="E14" s="60"/>
      <c r="F14" s="59">
        <f>(1/4)*(F11+N11)</f>
        <v>60</v>
      </c>
      <c r="G14" s="60"/>
      <c r="H14" s="60"/>
      <c r="I14" s="61"/>
      <c r="J14" s="126"/>
      <c r="K14" s="127"/>
      <c r="L14" s="127"/>
      <c r="M14" s="128"/>
      <c r="N14" s="59">
        <f>U5+W5/60</f>
        <v>60</v>
      </c>
      <c r="O14" s="60"/>
      <c r="P14" s="60"/>
      <c r="Q14" s="61"/>
      <c r="R14" s="139"/>
      <c r="S14" s="3">
        <f t="shared" ref="S14:S15" si="3">N14*PI()/180</f>
        <v>1.0471975511965976</v>
      </c>
      <c r="T14" s="44">
        <f>T16*180/PI()</f>
        <v>59.995833333333337</v>
      </c>
    </row>
    <row r="15" spans="1:28">
      <c r="A15" s="119"/>
      <c r="B15" s="62">
        <v>3</v>
      </c>
      <c r="C15" s="120"/>
      <c r="D15" s="120"/>
      <c r="E15" s="121"/>
      <c r="F15" s="59">
        <f>(1/4)*(F12+N12)</f>
        <v>59.987500000000004</v>
      </c>
      <c r="G15" s="60"/>
      <c r="H15" s="60"/>
      <c r="I15" s="61"/>
      <c r="J15" s="129"/>
      <c r="K15" s="130"/>
      <c r="L15" s="130"/>
      <c r="M15" s="131"/>
      <c r="N15" s="59">
        <f>U6+W6/60</f>
        <v>59.987500000000004</v>
      </c>
      <c r="O15" s="60"/>
      <c r="P15" s="60"/>
      <c r="Q15" s="61"/>
      <c r="R15" s="139"/>
      <c r="S15" s="35">
        <f t="shared" si="3"/>
        <v>1.0469793850400986</v>
      </c>
      <c r="T15" s="35" t="s">
        <v>90</v>
      </c>
    </row>
    <row r="16" spans="1:28">
      <c r="A16" s="47" t="s">
        <v>88</v>
      </c>
      <c r="B16" s="120">
        <f>U8+W8/60</f>
        <v>59.983333333333334</v>
      </c>
      <c r="C16" s="120"/>
      <c r="D16" s="120"/>
      <c r="E16" s="120"/>
      <c r="F16" s="2"/>
      <c r="G16" s="2"/>
      <c r="H16" s="2"/>
      <c r="I16" s="2"/>
      <c r="J16" s="14"/>
      <c r="K16" s="14"/>
      <c r="L16" s="14"/>
      <c r="M16" s="14"/>
      <c r="N16" s="2"/>
      <c r="O16" s="2"/>
      <c r="P16" s="2"/>
      <c r="Q16" s="2"/>
      <c r="R16" s="45" t="s">
        <v>75</v>
      </c>
      <c r="S16" s="3">
        <f>(S13-B17)^2/2</f>
        <v>4.2307974970349399E-8</v>
      </c>
      <c r="T16" s="44">
        <f>AVERAGE(S13:S15)</f>
        <v>1.0471248291444313</v>
      </c>
    </row>
    <row r="17" spans="1:19">
      <c r="A17" s="1" t="s">
        <v>56</v>
      </c>
      <c r="B17" s="102">
        <f>B16*PI()/180</f>
        <v>1.046906662987932</v>
      </c>
      <c r="C17" s="102"/>
      <c r="D17" s="102"/>
      <c r="E17" s="10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2"/>
      <c r="Q17" s="22"/>
      <c r="R17" s="46"/>
      <c r="S17" s="49">
        <f>(S14-B17)^2/2</f>
        <v>4.2307974970349399E-8</v>
      </c>
    </row>
    <row r="18" spans="1:19">
      <c r="A18" s="29" t="s">
        <v>57</v>
      </c>
      <c r="B18" s="102">
        <f>SQRT(SUM(S16:S18))</f>
        <v>2.9539837233193708E-4</v>
      </c>
      <c r="C18" s="102"/>
      <c r="D18" s="102"/>
      <c r="E18" s="102"/>
      <c r="F18" s="22"/>
      <c r="G18" s="22"/>
      <c r="H18" s="22"/>
      <c r="I18" s="22"/>
      <c r="J18" s="22"/>
      <c r="K18" s="22"/>
      <c r="L18" s="22"/>
      <c r="M18" s="22"/>
      <c r="N18" s="22"/>
      <c r="O18" s="22"/>
      <c r="P18" s="22"/>
      <c r="Q18" s="22"/>
      <c r="R18" s="46"/>
      <c r="S18" s="3">
        <f>(S15-B17)^2/2</f>
        <v>2.6442484356589482E-9</v>
      </c>
    </row>
    <row r="19" spans="1:19">
      <c r="A19" s="1" t="s">
        <v>58</v>
      </c>
      <c r="B19" s="102">
        <f>B18/SQRT(3)</f>
        <v>1.7054832978402118E-4</v>
      </c>
      <c r="C19" s="102"/>
      <c r="D19" s="102"/>
      <c r="E19" s="102"/>
      <c r="F19" s="22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 t="s">
        <v>59</v>
      </c>
      <c r="S19" s="22">
        <v>1.32</v>
      </c>
    </row>
    <row r="20" spans="1:19">
      <c r="A20" s="1" t="s">
        <v>61</v>
      </c>
      <c r="B20" s="102">
        <f>S19*B19</f>
        <v>2.2512379531490799E-4</v>
      </c>
      <c r="C20" s="102"/>
      <c r="D20" s="102"/>
      <c r="E20" s="10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42" t="s">
        <v>60</v>
      </c>
      <c r="S20" s="42"/>
    </row>
    <row r="21" spans="1:19">
      <c r="A21" s="1" t="s">
        <v>65</v>
      </c>
      <c r="B21" s="102">
        <f>SQRT(B20^2+S22^2)</f>
        <v>6.2381449404450202E-4</v>
      </c>
      <c r="C21" s="102"/>
      <c r="D21" s="102"/>
      <c r="E21" s="10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 t="s">
        <v>62</v>
      </c>
      <c r="S21" s="22">
        <f>2/60</f>
        <v>3.3333333333333333E-2</v>
      </c>
    </row>
    <row r="22" spans="1:19">
      <c r="A22" s="1" t="s">
        <v>64</v>
      </c>
      <c r="B22" s="102">
        <f>B21*180/PI()</f>
        <v>3.5741937707838789E-2</v>
      </c>
      <c r="C22" s="102"/>
      <c r="D22" s="102"/>
      <c r="E22" s="10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 t="s">
        <v>63</v>
      </c>
      <c r="S22" s="22">
        <f>S21*PI()/180</f>
        <v>5.8177641733144316E-4</v>
      </c>
    </row>
    <row r="23" spans="1:19"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</row>
    <row r="24" spans="1:19">
      <c r="B24" s="132"/>
      <c r="C24" s="132"/>
      <c r="D24" s="132"/>
      <c r="E24" s="13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</row>
    <row r="25" spans="1:19">
      <c r="A25" s="1" t="s">
        <v>67</v>
      </c>
      <c r="B25" s="102">
        <f>U9+W9/60</f>
        <v>3.3333333333333333E-2</v>
      </c>
      <c r="C25" s="102"/>
      <c r="D25" s="102"/>
      <c r="E25" s="102"/>
      <c r="F25" s="22"/>
      <c r="G25" s="22"/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</row>
    <row r="26" spans="1:19">
      <c r="A26" s="1" t="s">
        <v>68</v>
      </c>
      <c r="B26" s="102">
        <f>B25*PI()/180</f>
        <v>5.8177641733144316E-4</v>
      </c>
      <c r="C26" s="102"/>
      <c r="D26" s="102"/>
      <c r="E26" s="10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2"/>
      <c r="Q26" s="22"/>
      <c r="R26" s="22"/>
      <c r="S26" s="22"/>
    </row>
    <row r="27" spans="1:19"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22"/>
      <c r="M27" s="22"/>
      <c r="N27" s="22"/>
      <c r="O27" s="22"/>
      <c r="P27" s="22"/>
      <c r="Q27" s="22"/>
      <c r="R27" s="22"/>
      <c r="S27" s="22"/>
    </row>
    <row r="28" spans="1:19">
      <c r="B28" s="22"/>
      <c r="C28" s="22"/>
      <c r="D28" s="22"/>
      <c r="E28" s="22"/>
      <c r="F28" s="22"/>
      <c r="G28" s="22"/>
      <c r="H28" s="22"/>
      <c r="I28" s="22"/>
      <c r="J28" s="22"/>
      <c r="K28" s="22"/>
      <c r="L28" s="22"/>
      <c r="M28" s="22"/>
      <c r="N28" s="22"/>
      <c r="O28" s="22"/>
      <c r="P28" s="22"/>
      <c r="Q28" s="22"/>
      <c r="R28" s="22"/>
      <c r="S28" s="22"/>
    </row>
    <row r="29" spans="1:19"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2"/>
      <c r="Q29" s="22"/>
      <c r="R29" s="22"/>
      <c r="S29" s="22"/>
    </row>
    <row r="30" spans="1:19"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</row>
    <row r="31" spans="1:19">
      <c r="B31" s="22"/>
      <c r="C31" s="22"/>
      <c r="D31" s="22"/>
      <c r="E31" s="22"/>
      <c r="F31" s="22"/>
      <c r="G31" s="22"/>
      <c r="H31" s="22"/>
      <c r="I31" s="22"/>
      <c r="J31" s="22"/>
      <c r="K31" s="22"/>
      <c r="L31" s="22"/>
      <c r="M31" s="22"/>
      <c r="N31" s="22"/>
      <c r="O31" s="22"/>
      <c r="P31" s="22"/>
      <c r="Q31" s="22"/>
      <c r="R31" s="22"/>
      <c r="S31" s="22"/>
    </row>
    <row r="32" spans="1:19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</row>
    <row r="33" spans="2:19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</row>
    <row r="34" spans="2:19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</row>
    <row r="35" spans="2:19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</row>
    <row r="36" spans="2:19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</row>
    <row r="37" spans="2:19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</row>
    <row r="38" spans="2:19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</row>
    <row r="39" spans="2:19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</row>
  </sheetData>
  <mergeCells count="66">
    <mergeCell ref="B26:E26"/>
    <mergeCell ref="F15:I15"/>
    <mergeCell ref="N15:Q15"/>
    <mergeCell ref="B17:E17"/>
    <mergeCell ref="B18:E18"/>
    <mergeCell ref="B19:E19"/>
    <mergeCell ref="B25:E25"/>
    <mergeCell ref="R13:R15"/>
    <mergeCell ref="B20:E20"/>
    <mergeCell ref="B21:E21"/>
    <mergeCell ref="B22:E22"/>
    <mergeCell ref="B24:E24"/>
    <mergeCell ref="B16:E16"/>
    <mergeCell ref="A13:A15"/>
    <mergeCell ref="B13:E13"/>
    <mergeCell ref="F13:I13"/>
    <mergeCell ref="J13:M15"/>
    <mergeCell ref="N13:Q13"/>
    <mergeCell ref="B14:E14"/>
    <mergeCell ref="F14:I14"/>
    <mergeCell ref="N14:Q14"/>
    <mergeCell ref="B15:E15"/>
    <mergeCell ref="B12:E12"/>
    <mergeCell ref="F12:I12"/>
    <mergeCell ref="J12:M12"/>
    <mergeCell ref="N12:Q12"/>
    <mergeCell ref="B10:E10"/>
    <mergeCell ref="F10:I10"/>
    <mergeCell ref="J10:M10"/>
    <mergeCell ref="N10:Q10"/>
    <mergeCell ref="B11:E11"/>
    <mergeCell ref="F11:I11"/>
    <mergeCell ref="J11:M11"/>
    <mergeCell ref="N11:Q11"/>
    <mergeCell ref="B9:E9"/>
    <mergeCell ref="F9:I9"/>
    <mergeCell ref="J9:M9"/>
    <mergeCell ref="N9:Q9"/>
    <mergeCell ref="B8:E8"/>
    <mergeCell ref="F8:I8"/>
    <mergeCell ref="J8:M8"/>
    <mergeCell ref="N8:Q8"/>
    <mergeCell ref="U3:V3"/>
    <mergeCell ref="W3:X3"/>
    <mergeCell ref="B7:E7"/>
    <mergeCell ref="F7:I7"/>
    <mergeCell ref="J7:M7"/>
    <mergeCell ref="N7:Q7"/>
    <mergeCell ref="B3:C3"/>
    <mergeCell ref="D3:E3"/>
    <mergeCell ref="F3:G3"/>
    <mergeCell ref="H3:I3"/>
    <mergeCell ref="J3:K3"/>
    <mergeCell ref="U1:X2"/>
    <mergeCell ref="B2:E2"/>
    <mergeCell ref="F2:I2"/>
    <mergeCell ref="J2:M2"/>
    <mergeCell ref="N2:Q2"/>
    <mergeCell ref="A1:A3"/>
    <mergeCell ref="B1:I1"/>
    <mergeCell ref="J1:Q1"/>
    <mergeCell ref="R1:S2"/>
    <mergeCell ref="T1:T3"/>
    <mergeCell ref="L3:M3"/>
    <mergeCell ref="N3:O3"/>
    <mergeCell ref="P3:Q3"/>
  </mergeCells>
  <phoneticPr fontId="1" type="noConversion"/>
  <conditionalFormatting sqref="T4:T6">
    <cfRule type="cellIs" dxfId="2" priority="1" operator="equal">
      <formula>"请检查过零"</formula>
    </cfRule>
    <cfRule type="cellIs" dxfId="1" priority="2" operator="equal">
      <formula>1</formula>
    </cfRule>
    <cfRule type="cellIs" dxfId="0" priority="3" operator="equal">
      <formula>0</formula>
    </cfRule>
  </conditionalFormatting>
  <dataValidations count="1">
    <dataValidation type="whole" allowBlank="1" showInputMessage="1" showErrorMessage="1" sqref="R4:T6" xr:uid="{7E5B3414-075C-414F-82C4-AD338175D85B}">
      <formula1>0</formula1>
      <formula2>1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ED3EF-42BE-4E41-AEF2-912EEEAB21F3}">
  <dimension ref="A1:G7"/>
  <sheetViews>
    <sheetView workbookViewId="0"/>
  </sheetViews>
  <sheetFormatPr defaultRowHeight="14.4"/>
  <cols>
    <col min="1" max="1" width="8.88671875" style="36"/>
    <col min="2" max="2" width="23.6640625" style="36" customWidth="1"/>
    <col min="3" max="3" width="21.109375" style="36" customWidth="1"/>
    <col min="4" max="4" width="8.88671875" style="36"/>
    <col min="5" max="5" width="29.21875" style="36" customWidth="1"/>
    <col min="6" max="7" width="8.88671875" style="36"/>
    <col min="8" max="8" width="20.44140625" style="36" bestFit="1" customWidth="1"/>
    <col min="9" max="16384" width="8.88671875" style="36"/>
  </cols>
  <sheetData>
    <row r="1" spans="1:7">
      <c r="A1" s="7"/>
      <c r="B1" s="7" t="s">
        <v>81</v>
      </c>
      <c r="C1" s="7" t="s">
        <v>80</v>
      </c>
      <c r="E1" s="36" t="s">
        <v>73</v>
      </c>
      <c r="G1" s="7"/>
    </row>
    <row r="2" spans="1:7">
      <c r="A2" s="7">
        <v>1</v>
      </c>
      <c r="B2" s="31">
        <f>2/60*PI()/180</f>
        <v>5.8177641733144316E-4</v>
      </c>
      <c r="C2" s="31">
        <f>60*PI()/180</f>
        <v>1.0471975511965976</v>
      </c>
      <c r="D2" s="36">
        <f>必做!AC11</f>
        <v>2</v>
      </c>
      <c r="E2" s="37">
        <f>VLOOKUP($D$2,$A:$C,COLUMN(B2),0)</f>
        <v>5.8177641733144316E-4</v>
      </c>
      <c r="G2" s="7"/>
    </row>
    <row r="3" spans="1:7">
      <c r="A3" s="7">
        <v>2</v>
      </c>
      <c r="B3" s="31">
        <f>选做1!B29</f>
        <v>5.8177641733144316E-4</v>
      </c>
      <c r="C3" s="31">
        <f>选做1!B20</f>
        <v>1.0474884394052635</v>
      </c>
      <c r="E3" s="38" t="s">
        <v>71</v>
      </c>
      <c r="G3" s="7"/>
    </row>
    <row r="4" spans="1:7">
      <c r="A4" s="7">
        <v>3</v>
      </c>
      <c r="B4" s="31">
        <f>选做2!B26</f>
        <v>5.8177641733144316E-4</v>
      </c>
      <c r="C4" s="31">
        <f>选做2!B17</f>
        <v>1.046906662987932</v>
      </c>
      <c r="E4" s="37">
        <f>VLOOKUP($D$2,$A:$C,COLUMN(C4),0)</f>
        <v>1.0474884394052635</v>
      </c>
      <c r="G4" s="7"/>
    </row>
    <row r="7" spans="1:7" ht="32.4">
      <c r="B7" s="39" t="s">
        <v>78</v>
      </c>
      <c r="C7" s="40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必做</vt:lpstr>
      <vt:lpstr>选做1</vt:lpstr>
      <vt:lpstr>选做2</vt:lpstr>
      <vt:lpstr>data1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 momooo</dc:creator>
  <cp:lastModifiedBy>momooo</cp:lastModifiedBy>
  <dcterms:created xsi:type="dcterms:W3CDTF">2015-06-05T18:19:34Z</dcterms:created>
  <dcterms:modified xsi:type="dcterms:W3CDTF">2025-03-25T01:13:24Z</dcterms:modified>
</cp:coreProperties>
</file>