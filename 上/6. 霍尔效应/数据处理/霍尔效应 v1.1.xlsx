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6. 新 霍尔效应\数据处理\"/>
    </mc:Choice>
  </mc:AlternateContent>
  <xr:revisionPtr revIDLastSave="0" documentId="13_ncr:1_{AA1E3648-C259-441A-AEDD-1789924EACB2}" xr6:coauthVersionLast="47" xr6:coauthVersionMax="47" xr10:uidLastSave="{00000000-0000-0000-0000-000000000000}"/>
  <bookViews>
    <workbookView xWindow="-108" yWindow="-108" windowWidth="23256" windowHeight="13896" xr2:uid="{1964352E-8A0E-4DAA-A34C-BC9A417C2483}"/>
  </bookViews>
  <sheets>
    <sheet name="VH-IS" sheetId="2" r:id="rId1"/>
    <sheet name="VH-IM" sheetId="6" r:id="rId2"/>
    <sheet name="Vσ-IS" sheetId="4" r:id="rId3"/>
    <sheet name="B在X轴分布" sheetId="1" r:id="rId4"/>
    <sheet name="图合集" sheetId="7" r:id="rId5"/>
  </sheets>
  <definedNames>
    <definedName name="_xlnm._FilterDatabase" localSheetId="3" hidden="1">B在X轴分布!$A$5:$K$32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6" l="1"/>
  <c r="M13" i="6"/>
  <c r="M9" i="6"/>
  <c r="M8" i="6"/>
  <c r="M7" i="6"/>
  <c r="M6" i="6"/>
  <c r="J7" i="6"/>
  <c r="J8" i="6"/>
  <c r="J9" i="6"/>
  <c r="J10" i="6"/>
  <c r="J11" i="6"/>
  <c r="J12" i="6"/>
  <c r="J13" i="6"/>
  <c r="J14" i="6"/>
  <c r="J15" i="6"/>
  <c r="J6" i="6"/>
  <c r="I7" i="6"/>
  <c r="I8" i="6"/>
  <c r="I9" i="6"/>
  <c r="I10" i="6"/>
  <c r="I11" i="6"/>
  <c r="I12" i="6"/>
  <c r="I13" i="6"/>
  <c r="I14" i="6"/>
  <c r="I15" i="6"/>
  <c r="I6" i="6"/>
  <c r="H7" i="6"/>
  <c r="H8" i="6"/>
  <c r="H9" i="6"/>
  <c r="H10" i="6"/>
  <c r="H11" i="6"/>
  <c r="H12" i="6"/>
  <c r="H13" i="6"/>
  <c r="H14" i="6"/>
  <c r="H15" i="6"/>
  <c r="H6" i="6"/>
  <c r="S2" i="1"/>
  <c r="P2" i="1"/>
  <c r="N2" i="1"/>
  <c r="F22" i="4"/>
  <c r="F21" i="4"/>
  <c r="J6" i="4" l="1"/>
  <c r="H6" i="4"/>
  <c r="J9" i="4"/>
  <c r="H9" i="4"/>
  <c r="J12" i="4"/>
  <c r="H12" i="4"/>
  <c r="B24" i="4"/>
  <c r="E5" i="4"/>
  <c r="E6" i="4"/>
  <c r="E7" i="4"/>
  <c r="E8" i="4"/>
  <c r="E9" i="4"/>
  <c r="E10" i="4"/>
  <c r="E11" i="4"/>
  <c r="E12" i="4"/>
  <c r="E13" i="4"/>
  <c r="E4" i="4"/>
  <c r="B19" i="4"/>
  <c r="D5" i="4"/>
  <c r="D6" i="4"/>
  <c r="D7" i="4"/>
  <c r="D8" i="4"/>
  <c r="D9" i="4"/>
  <c r="D10" i="4"/>
  <c r="D11" i="4"/>
  <c r="D12" i="4"/>
  <c r="D13" i="4"/>
  <c r="D4" i="4"/>
  <c r="B17" i="4"/>
  <c r="G15" i="6"/>
  <c r="G14" i="6"/>
  <c r="G13" i="6"/>
  <c r="G12" i="6"/>
  <c r="G11" i="6"/>
  <c r="G10" i="6"/>
  <c r="G9" i="6"/>
  <c r="G8" i="6"/>
  <c r="G7" i="6"/>
  <c r="G6" i="6"/>
  <c r="J1" i="6"/>
  <c r="Q15" i="6"/>
  <c r="Q16" i="6" s="1"/>
  <c r="Q2" i="6"/>
  <c r="O2" i="6"/>
  <c r="M2" i="6"/>
  <c r="P2" i="2"/>
  <c r="N2" i="2"/>
  <c r="P16" i="2"/>
  <c r="P17" i="2" s="1"/>
  <c r="L2" i="2"/>
  <c r="H7" i="2"/>
  <c r="H8" i="2"/>
  <c r="H9" i="2"/>
  <c r="H10" i="2"/>
  <c r="H11" i="2"/>
  <c r="H12" i="2"/>
  <c r="H13" i="2"/>
  <c r="H14" i="2"/>
  <c r="H15" i="2"/>
  <c r="H6" i="2"/>
  <c r="L6" i="2"/>
  <c r="B20" i="4" l="1"/>
  <c r="B18" i="4"/>
  <c r="B22" i="4" s="1"/>
  <c r="Q18" i="6"/>
  <c r="P19" i="2"/>
  <c r="L7" i="2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6" i="2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19" i="1"/>
  <c r="I19" i="1" s="1"/>
  <c r="B23" i="4" l="1"/>
  <c r="F17" i="4"/>
  <c r="M11" i="6"/>
  <c r="Q6" i="6" s="1"/>
  <c r="L13" i="2"/>
  <c r="I6" i="2"/>
  <c r="L9" i="2" s="1"/>
  <c r="L8" i="2"/>
  <c r="Q7" i="6" l="1"/>
  <c r="Q8" i="6" s="1"/>
  <c r="Q20" i="6"/>
  <c r="M12" i="6"/>
  <c r="L11" i="2"/>
  <c r="L12" i="2" s="1"/>
  <c r="Q21" i="6" l="1"/>
  <c r="P8" i="2"/>
  <c r="P21" i="2" l="1"/>
  <c r="N13" i="1"/>
  <c r="J22" i="4"/>
  <c r="P9" i="2"/>
  <c r="P10" i="2" s="1"/>
  <c r="F18" i="4" l="1"/>
  <c r="J10" i="1"/>
  <c r="K10" i="1" s="1"/>
  <c r="J17" i="1"/>
  <c r="K17" i="1" s="1"/>
  <c r="J30" i="1"/>
  <c r="K30" i="1" s="1"/>
  <c r="J6" i="1"/>
  <c r="K6" i="1" s="1"/>
  <c r="J28" i="1"/>
  <c r="K28" i="1" s="1"/>
  <c r="J25" i="1"/>
  <c r="K25" i="1" s="1"/>
  <c r="J29" i="1"/>
  <c r="K29" i="1" s="1"/>
  <c r="J9" i="1"/>
  <c r="K9" i="1" s="1"/>
  <c r="J13" i="1"/>
  <c r="K13" i="1" s="1"/>
  <c r="J8" i="1"/>
  <c r="K8" i="1" s="1"/>
  <c r="J22" i="1"/>
  <c r="K22" i="1" s="1"/>
  <c r="J27" i="1"/>
  <c r="K27" i="1" s="1"/>
  <c r="J14" i="1"/>
  <c r="K14" i="1" s="1"/>
  <c r="J15" i="1"/>
  <c r="K15" i="1" s="1"/>
  <c r="J21" i="1"/>
  <c r="K21" i="1" s="1"/>
  <c r="J26" i="1"/>
  <c r="K26" i="1" s="1"/>
  <c r="J11" i="1"/>
  <c r="K11" i="1" s="1"/>
  <c r="J24" i="1"/>
  <c r="K24" i="1" s="1"/>
  <c r="J12" i="1"/>
  <c r="K12" i="1" s="1"/>
  <c r="J23" i="1"/>
  <c r="K23" i="1" s="1"/>
  <c r="J19" i="1"/>
  <c r="K19" i="1" s="1"/>
  <c r="J20" i="1"/>
  <c r="K20" i="1" s="1"/>
  <c r="J16" i="1"/>
  <c r="K16" i="1" s="1"/>
  <c r="J31" i="1"/>
  <c r="K31" i="1" s="1"/>
  <c r="J32" i="1"/>
  <c r="K32" i="1" s="1"/>
  <c r="J7" i="1"/>
  <c r="K7" i="1" s="1"/>
  <c r="J18" i="1"/>
  <c r="K18" i="1" s="1"/>
  <c r="N14" i="1"/>
  <c r="J23" i="4"/>
  <c r="F23" i="4" s="1"/>
  <c r="P22" i="2"/>
  <c r="F24" i="4" l="1"/>
</calcChain>
</file>

<file path=xl/sharedStrings.xml><?xml version="1.0" encoding="utf-8"?>
<sst xmlns="http://schemas.openxmlformats.org/spreadsheetml/2006/main" count="274" uniqueCount="143">
  <si>
    <t>532(892)</t>
    <phoneticPr fontId="1" type="noConversion"/>
  </si>
  <si>
    <t>536(896)</t>
    <phoneticPr fontId="1" type="noConversion"/>
  </si>
  <si>
    <t>542(902)</t>
    <phoneticPr fontId="1" type="noConversion"/>
  </si>
  <si>
    <t>本行填V1-4的正负</t>
    <phoneticPr fontId="1" type="noConversion"/>
  </si>
  <si>
    <t>VH=(V1-V2+V3-V4)/4
(mV)</t>
    <phoneticPr fontId="1" type="noConversion"/>
  </si>
  <si>
    <t>IS</t>
    <phoneticPr fontId="1" type="noConversion"/>
  </si>
  <si>
    <t>mA</t>
    <phoneticPr fontId="1" type="noConversion"/>
  </si>
  <si>
    <r>
      <t xml:space="preserve">+Im、+Is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</si>
  <si>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-Im、+Is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</si>
  <si>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-Im、-Is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</si>
  <si>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+Im、-Is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</si>
  <si>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t>B</t>
    <phoneticPr fontId="1" type="noConversion"/>
  </si>
  <si>
    <t>mm</t>
    <phoneticPr fontId="1" type="noConversion"/>
  </si>
  <si>
    <t>mV</t>
    <phoneticPr fontId="1" type="noConversion"/>
  </si>
  <si>
    <t>x相对</t>
    <phoneticPr fontId="1" type="noConversion"/>
  </si>
  <si>
    <t>V1</t>
    <phoneticPr fontId="1" type="noConversion"/>
  </si>
  <si>
    <t>V2</t>
  </si>
  <si>
    <t>V3</t>
  </si>
  <si>
    <t>V4</t>
  </si>
  <si>
    <t>VH</t>
    <phoneticPr fontId="1" type="noConversion"/>
  </si>
  <si>
    <t>本列序号</t>
    <phoneticPr fontId="1" type="noConversion"/>
  </si>
  <si>
    <t>x实际</t>
    <phoneticPr fontId="1" type="noConversion"/>
  </si>
  <si>
    <t>本行单位</t>
    <phoneticPr fontId="1" type="noConversion"/>
  </si>
  <si>
    <r>
      <rPr>
        <b/>
        <sz val="11"/>
        <color rgb="FFFF0000"/>
        <rFont val="宋体"/>
        <family val="3"/>
        <charset val="134"/>
      </rPr>
      <t>关于“正负”：</t>
    </r>
    <r>
      <rPr>
        <sz val="11"/>
        <color rgb="FFFF0000"/>
        <rFont val="宋体"/>
        <family val="2"/>
        <charset val="134"/>
      </rPr>
      <t>1代表正，-1代表负，遇到零填1或-1均可(但不要不填或填其他的)</t>
    </r>
    <phoneticPr fontId="1" type="noConversion"/>
  </si>
  <si>
    <t>以下计算区</t>
    <phoneticPr fontId="1" type="noConversion"/>
  </si>
  <si>
    <t>（以上三表同）</t>
    <phoneticPr fontId="1" type="noConversion"/>
  </si>
  <si>
    <t>IM</t>
    <phoneticPr fontId="1" type="noConversion"/>
  </si>
  <si>
    <t>A</t>
    <phoneticPr fontId="1" type="noConversion"/>
  </si>
  <si>
    <r>
      <t xml:space="preserve">-IS、-B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</si>
  <si>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+IS、+B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</si>
  <si>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+IS、-B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</si>
  <si>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-IS、+B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</si>
  <si>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>V</t>
    </r>
    <r>
      <rPr>
        <sz val="11"/>
        <color theme="1"/>
        <rFont val="Calibri"/>
        <family val="2"/>
        <charset val="161"/>
      </rPr>
      <t>σ</t>
    </r>
    <phoneticPr fontId="1" type="noConversion"/>
  </si>
  <si>
    <t>B=0T</t>
    <phoneticPr fontId="1" type="noConversion"/>
  </si>
  <si>
    <t>说明：本工作簿各表是为了方便Origin导入设计的，请忽略部分格式问题</t>
    <phoneticPr fontId="1" type="noConversion"/>
  </si>
  <si>
    <t>实验1</t>
    <phoneticPr fontId="1" type="noConversion"/>
  </si>
  <si>
    <t>实验2</t>
    <phoneticPr fontId="1" type="noConversion"/>
  </si>
  <si>
    <t>实验3</t>
    <phoneticPr fontId="1" type="noConversion"/>
  </si>
  <si>
    <t>选做实验1</t>
    <phoneticPr fontId="1" type="noConversion"/>
  </si>
  <si>
    <t>x bar</t>
    <phoneticPr fontId="1" type="noConversion"/>
  </si>
  <si>
    <t>IS*VH</t>
    <phoneticPr fontId="1" type="noConversion"/>
  </si>
  <si>
    <t>IS^2</t>
    <phoneticPr fontId="1" type="noConversion"/>
  </si>
  <si>
    <t>【结果如下：】</t>
    <phoneticPr fontId="1" type="noConversion"/>
  </si>
  <si>
    <t>k</t>
    <phoneticPr fontId="1" type="noConversion"/>
  </si>
  <si>
    <t>b</t>
    <phoneticPr fontId="1" type="noConversion"/>
  </si>
  <si>
    <t>RH bar</t>
    <phoneticPr fontId="1" type="noConversion"/>
  </si>
  <si>
    <t xml:space="preserve">IM(A) = </t>
    <phoneticPr fontId="1" type="noConversion"/>
  </si>
  <si>
    <t>m^3/C</t>
    <phoneticPr fontId="1" type="noConversion"/>
  </si>
  <si>
    <t>n bar</t>
    <phoneticPr fontId="1" type="noConversion"/>
  </si>
  <si>
    <t>cm^(-3)</t>
    <phoneticPr fontId="1" type="noConversion"/>
  </si>
  <si>
    <t>xy bar</t>
    <phoneticPr fontId="1" type="noConversion"/>
  </si>
  <si>
    <t>y bar</t>
    <phoneticPr fontId="1" type="noConversion"/>
  </si>
  <si>
    <t>x^2 bar</t>
    <phoneticPr fontId="1" type="noConversion"/>
  </si>
  <si>
    <t>（x即IS，y即VH）</t>
    <phoneticPr fontId="1" type="noConversion"/>
  </si>
  <si>
    <t>r</t>
    <phoneticPr fontId="1" type="noConversion"/>
  </si>
  <si>
    <t>mT/A</t>
    <phoneticPr fontId="1" type="noConversion"/>
  </si>
  <si>
    <t>请在右侧输入C:</t>
    <phoneticPr fontId="1" type="noConversion"/>
  </si>
  <si>
    <t>【① 最小二乘法相关计算】</t>
    <phoneticPr fontId="1" type="noConversion"/>
  </si>
  <si>
    <t>【② RH、n相关计算】</t>
    <phoneticPr fontId="1" type="noConversion"/>
  </si>
  <si>
    <t>【③ 不确定度相关计算】</t>
    <phoneticPr fontId="1" type="noConversion"/>
  </si>
  <si>
    <t>Ur(RH)</t>
    <phoneticPr fontId="1" type="noConversion"/>
  </si>
  <si>
    <t>d(mm)=</t>
    <phoneticPr fontId="1" type="noConversion"/>
  </si>
  <si>
    <t xml:space="preserve">e(C)= </t>
    <phoneticPr fontId="1" type="noConversion"/>
  </si>
  <si>
    <t>U(d)(mm)=</t>
    <phoneticPr fontId="1" type="noConversion"/>
  </si>
  <si>
    <t>仪器最小分度值</t>
    <phoneticPr fontId="1" type="noConversion"/>
  </si>
  <si>
    <t>(p=95.5%)</t>
    <phoneticPr fontId="1" type="noConversion"/>
  </si>
  <si>
    <t>kp</t>
    <phoneticPr fontId="1" type="noConversion"/>
  </si>
  <si>
    <t>C(假设为均匀)</t>
    <phoneticPr fontId="1" type="noConversion"/>
  </si>
  <si>
    <t>UIM = UB =</t>
    <phoneticPr fontId="1" type="noConversion"/>
  </si>
  <si>
    <t xml:space="preserve">  (1)求UIM</t>
    <phoneticPr fontId="1" type="noConversion"/>
  </si>
  <si>
    <t xml:space="preserve">  (2)求Ur(RH)</t>
    <phoneticPr fontId="1" type="noConversion"/>
  </si>
  <si>
    <t xml:space="preserve">  (3)final step</t>
    <phoneticPr fontId="1" type="noConversion"/>
  </si>
  <si>
    <t>URH</t>
    <phoneticPr fontId="1" type="noConversion"/>
  </si>
  <si>
    <t>Un</t>
    <phoneticPr fontId="1" type="noConversion"/>
  </si>
  <si>
    <t xml:space="preserve"> m^3/C</t>
    <phoneticPr fontId="1" type="noConversion"/>
  </si>
  <si>
    <t xml:space="preserve"> m^(-3)</t>
    <phoneticPr fontId="1" type="noConversion"/>
  </si>
  <si>
    <t>[可用下方辅助草图适当调整数据]（原则上是不用且不应调整的）</t>
    <phoneticPr fontId="1" type="noConversion"/>
  </si>
  <si>
    <t>RH =  0.185±0.006 m^3/C</t>
    <phoneticPr fontId="1" type="noConversion"/>
  </si>
  <si>
    <r>
      <rPr>
        <b/>
        <sz val="11"/>
        <rFont val="宋体"/>
        <family val="3"/>
        <charset val="134"/>
      </rPr>
      <t>(不建议！！)</t>
    </r>
    <r>
      <rPr>
        <sz val="11"/>
        <rFont val="宋体"/>
        <family val="3"/>
        <charset val="134"/>
      </rPr>
      <t xml:space="preserve"> n也可写</t>
    </r>
    <phoneticPr fontId="1" type="noConversion"/>
  </si>
  <si>
    <r>
      <t>表示结果</t>
    </r>
    <r>
      <rPr>
        <b/>
        <i/>
        <u/>
        <sz val="11"/>
        <color theme="1"/>
        <rFont val="宋体"/>
        <family val="3"/>
        <charset val="134"/>
      </rPr>
      <t>示例</t>
    </r>
    <r>
      <rPr>
        <sz val="11"/>
        <color theme="1"/>
        <rFont val="宋体"/>
        <family val="2"/>
        <charset val="134"/>
      </rPr>
      <t>:</t>
    </r>
    <phoneticPr fontId="1" type="noConversion"/>
  </si>
  <si>
    <t>(全局)</t>
    <phoneticPr fontId="1" type="noConversion"/>
  </si>
  <si>
    <t>竖着填，并自行判断小数位数</t>
    <phoneticPr fontId="1" type="noConversion"/>
  </si>
  <si>
    <r>
      <t>Is</t>
    </r>
    <r>
      <rPr>
        <b/>
        <sz val="11"/>
        <color theme="1"/>
        <rFont val="宋体"/>
        <family val="3"/>
        <charset val="134"/>
      </rPr>
      <t>(mA)</t>
    </r>
    <r>
      <rPr>
        <sz val="11"/>
        <color theme="1"/>
        <rFont val="宋体"/>
        <family val="2"/>
        <charset val="134"/>
      </rPr>
      <t xml:space="preserve"> = </t>
    </r>
    <phoneticPr fontId="1" type="noConversion"/>
  </si>
  <si>
    <r>
      <t>Is</t>
    </r>
    <r>
      <rPr>
        <b/>
        <sz val="11"/>
        <color theme="1"/>
        <rFont val="宋体"/>
        <family val="3"/>
        <charset val="134"/>
      </rPr>
      <t>(A)</t>
    </r>
    <r>
      <rPr>
        <sz val="11"/>
        <color theme="1"/>
        <rFont val="宋体"/>
        <family val="2"/>
        <charset val="134"/>
      </rPr>
      <t xml:space="preserve"> =</t>
    </r>
    <phoneticPr fontId="1" type="noConversion"/>
  </si>
  <si>
    <t>IM^2</t>
    <phoneticPr fontId="1" type="noConversion"/>
  </si>
  <si>
    <t>IM*VH</t>
    <phoneticPr fontId="1" type="noConversion"/>
  </si>
  <si>
    <t>mA*mV</t>
    <phoneticPr fontId="1" type="noConversion"/>
  </si>
  <si>
    <t>V</t>
    <phoneticPr fontId="1" type="noConversion"/>
  </si>
  <si>
    <t>使用方法：输入蓝底部分，更正差异部分，表格会自动计算。</t>
    <phoneticPr fontId="1" type="noConversion"/>
  </si>
  <si>
    <t>mA^2</t>
    <phoneticPr fontId="1" type="noConversion"/>
  </si>
  <si>
    <t>RH =  0.182±0.006 m^3/C</t>
    <phoneticPr fontId="1" type="noConversion"/>
  </si>
  <si>
    <t xml:space="preserve"> n = (3.4±0.1) * 10^19 m^(-3)</t>
    <phoneticPr fontId="1" type="noConversion"/>
  </si>
  <si>
    <t>（x即IM，y即VH）</t>
    <phoneticPr fontId="1" type="noConversion"/>
  </si>
  <si>
    <r>
      <t>（x即IS，y即V</t>
    </r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宋体"/>
        <family val="2"/>
        <charset val="134"/>
      </rPr>
      <t>）</t>
    </r>
    <phoneticPr fontId="1" type="noConversion"/>
  </si>
  <si>
    <r>
      <t>IS*V</t>
    </r>
    <r>
      <rPr>
        <sz val="11"/>
        <color theme="1"/>
        <rFont val="Calibri"/>
        <family val="2"/>
        <charset val="161"/>
      </rPr>
      <t>σ</t>
    </r>
    <phoneticPr fontId="1" type="noConversion"/>
  </si>
  <si>
    <t>d (m)=</t>
    <phoneticPr fontId="1" type="noConversion"/>
  </si>
  <si>
    <t>U(d) (m)=</t>
    <phoneticPr fontId="1" type="noConversion"/>
  </si>
  <si>
    <t>L(mm)=</t>
    <phoneticPr fontId="1" type="noConversion"/>
  </si>
  <si>
    <t>L (m)=</t>
    <phoneticPr fontId="1" type="noConversion"/>
  </si>
  <si>
    <t>U(L)(mm)=</t>
    <phoneticPr fontId="1" type="noConversion"/>
  </si>
  <si>
    <t>U(L) (m)=</t>
    <phoneticPr fontId="1" type="noConversion"/>
  </si>
  <si>
    <t>U(b)(mm)=</t>
    <phoneticPr fontId="1" type="noConversion"/>
  </si>
  <si>
    <t>U(b) (m)=</t>
    <phoneticPr fontId="1" type="noConversion"/>
  </si>
  <si>
    <t>b (m)=</t>
    <phoneticPr fontId="1" type="noConversion"/>
  </si>
  <si>
    <t>b(mm)=</t>
    <phoneticPr fontId="1" type="noConversion"/>
  </si>
  <si>
    <t>以下常数勿改</t>
    <phoneticPr fontId="1" type="noConversion"/>
  </si>
  <si>
    <r>
      <t xml:space="preserve">【② </t>
    </r>
    <r>
      <rPr>
        <b/>
        <sz val="11"/>
        <color theme="8" tint="-0.249977111117893"/>
        <rFont val="Calibri"/>
        <family val="3"/>
        <charset val="161"/>
      </rPr>
      <t>σ</t>
    </r>
    <r>
      <rPr>
        <b/>
        <sz val="11"/>
        <color theme="8" tint="-0.249977111117893"/>
        <rFont val="宋体"/>
        <family val="3"/>
        <charset val="134"/>
      </rPr>
      <t>、</t>
    </r>
    <r>
      <rPr>
        <b/>
        <sz val="11"/>
        <color theme="8" tint="-0.249977111117893"/>
        <rFont val="Calibri"/>
        <family val="3"/>
        <charset val="161"/>
      </rPr>
      <t>μ</t>
    </r>
    <r>
      <rPr>
        <b/>
        <sz val="11"/>
        <color theme="8" tint="-0.249977111117893"/>
        <rFont val="宋体"/>
        <family val="3"/>
        <charset val="134"/>
      </rPr>
      <t>相关计算】</t>
    </r>
    <phoneticPr fontId="1" type="noConversion"/>
  </si>
  <si>
    <r>
      <rPr>
        <b/>
        <sz val="11"/>
        <color rgb="FFFF0000"/>
        <rFont val="Calibri"/>
        <family val="2"/>
        <charset val="161"/>
      </rPr>
      <t>σ</t>
    </r>
    <r>
      <rPr>
        <b/>
        <sz val="11"/>
        <color rgb="FFFF0000"/>
        <rFont val="宋体"/>
        <family val="2"/>
        <charset val="134"/>
      </rPr>
      <t xml:space="preserve"> bar</t>
    </r>
    <phoneticPr fontId="1" type="noConversion"/>
  </si>
  <si>
    <t>V/A</t>
    <phoneticPr fontId="1" type="noConversion"/>
  </si>
  <si>
    <t>RH</t>
    <phoneticPr fontId="1" type="noConversion"/>
  </si>
  <si>
    <t>采用：</t>
    <phoneticPr fontId="1" type="noConversion"/>
  </si>
  <si>
    <r>
      <rPr>
        <b/>
        <sz val="11"/>
        <color rgb="FFFF0000"/>
        <rFont val="Calibri"/>
        <family val="2"/>
        <charset val="161"/>
      </rPr>
      <t>μ</t>
    </r>
    <r>
      <rPr>
        <b/>
        <sz val="11"/>
        <color rgb="FFFF0000"/>
        <rFont val="宋体"/>
        <family val="2"/>
        <charset val="134"/>
      </rPr>
      <t xml:space="preserve"> bar</t>
    </r>
    <phoneticPr fontId="1" type="noConversion"/>
  </si>
  <si>
    <r>
      <t>Ur(</t>
    </r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</si>
  <si>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U</t>
    </r>
    <r>
      <rPr>
        <b/>
        <sz val="11"/>
        <color rgb="FFFF0000"/>
        <rFont val="Calibri"/>
        <family val="2"/>
        <charset val="161"/>
      </rPr>
      <t>σ</t>
    </r>
    <phoneticPr fontId="1" type="noConversion"/>
  </si>
  <si>
    <r>
      <t>Ur(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</si>
  <si>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U</t>
    </r>
    <r>
      <rPr>
        <b/>
        <sz val="11"/>
        <color rgb="FFFF0000"/>
        <rFont val="Calibri"/>
        <family val="2"/>
        <charset val="161"/>
      </rPr>
      <t>μ</t>
    </r>
    <phoneticPr fontId="1" type="noConversion"/>
  </si>
  <si>
    <r>
      <t xml:space="preserve"> 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 xml:space="preserve"> =   59±3 m^2/(V·s)</t>
    </r>
    <phoneticPr fontId="1" type="noConversion"/>
  </si>
  <si>
    <t xml:space="preserve"> S/m</t>
    <phoneticPr fontId="1" type="noConversion"/>
  </si>
  <si>
    <t xml:space="preserve"> m^2/(V·s)</t>
    <phoneticPr fontId="1" type="noConversion"/>
  </si>
  <si>
    <t>IM(A)=</t>
    <phoneticPr fontId="1" type="noConversion"/>
  </si>
  <si>
    <t>IS(mA)=</t>
    <phoneticPr fontId="1" type="noConversion"/>
  </si>
  <si>
    <t>B=(VH·d)/(RH·IS)
(T)</t>
    <phoneticPr fontId="1" type="noConversion"/>
  </si>
  <si>
    <t>IS (A)=</t>
    <phoneticPr fontId="1" type="noConversion"/>
  </si>
  <si>
    <t>T</t>
    <phoneticPr fontId="1" type="noConversion"/>
  </si>
  <si>
    <t>mT</t>
    <phoneticPr fontId="1" type="noConversion"/>
  </si>
  <si>
    <t>机械学院 24级 momooo</t>
    <phoneticPr fontId="1" type="noConversion"/>
  </si>
  <si>
    <t>Last Updated:</t>
  </si>
  <si>
    <t>制作:</t>
    <phoneticPr fontId="24" type="noConversion"/>
  </si>
  <si>
    <t>（本工作簿中所有计算结果均和deepseek进行过比对，已证明公式可靠性。）</t>
    <phoneticPr fontId="1" type="noConversion"/>
  </si>
  <si>
    <t>VH默认换成正，请自行在报告中说明其正负性</t>
    <phoneticPr fontId="1" type="noConversion"/>
  </si>
  <si>
    <t xml:space="preserve">  (1)求UIS</t>
    <phoneticPr fontId="1" type="noConversion"/>
  </si>
  <si>
    <t xml:space="preserve"> σ =  (3.2±0.1) * 10^2 S/m</t>
    <phoneticPr fontId="1" type="noConversion"/>
  </si>
  <si>
    <t>【请自行判断小数位数，注意单位换算！】</t>
    <phoneticPr fontId="1" type="noConversion"/>
  </si>
  <si>
    <t>可不填</t>
    <phoneticPr fontId="1" type="noConversion"/>
  </si>
  <si>
    <t>最后填本表. 请自行判断小数位数,注意单位换算</t>
    <phoneticPr fontId="1" type="noConversion"/>
  </si>
  <si>
    <t>说明：</t>
    <phoneticPr fontId="1" type="noConversion"/>
  </si>
  <si>
    <r>
      <t>这里图3画的是IS-V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图。sheet3里面的是V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-IS图，讲义上和sheet3中的k都是是V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-IS图的，请务必注意！！！</t>
    </r>
    <phoneticPr fontId="1" type="noConversion"/>
  </si>
  <si>
    <t>【请自行调整图像大小及各元素位置】</t>
    <phoneticPr fontId="1" type="noConversion"/>
  </si>
  <si>
    <t>填完按“x相对”
从小到大排序</t>
    <phoneticPr fontId="1" type="noConversion"/>
  </si>
  <si>
    <r>
      <t>这里是V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-IS图，sheet5图3画的是IS-V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图。
讲义上和本表中的k都V</t>
    </r>
    <r>
      <rPr>
        <b/>
        <sz val="16"/>
        <color rgb="FFFF0000"/>
        <rFont val="Calibri"/>
        <family val="2"/>
        <charset val="161"/>
      </rPr>
      <t>σ</t>
    </r>
    <r>
      <rPr>
        <b/>
        <sz val="16"/>
        <color rgb="FFFF0000"/>
        <rFont val="宋体"/>
        <family val="2"/>
        <charset val="134"/>
      </rPr>
      <t>-IS图的，请务必注意！！！</t>
    </r>
    <phoneticPr fontId="1" type="noConversion"/>
  </si>
  <si>
    <t>说明：以下给出的都是拟合曲线</t>
    <phoneticPr fontId="1" type="noConversion"/>
  </si>
  <si>
    <t>v1.1</t>
    <phoneticPr fontId="1" type="noConversion"/>
  </si>
  <si>
    <t>2025.4.25  24:39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</si>
</sst>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4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rgb="FFFF0000"/>
      <name val="宋体"/>
      <family val="2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8"/>
      <color theme="1"/>
      <name val="宋体"/>
      <family val="2"/>
      <charset val="134"/>
    </font>
    <font>
      <b/>
      <sz val="20"/>
      <color rgb="FFFF0000"/>
      <name val="宋体"/>
      <family val="3"/>
      <charset val="134"/>
    </font>
    <font>
      <b/>
      <sz val="11"/>
      <color rgb="FFC00000"/>
      <name val="宋体"/>
      <family val="3"/>
      <charset val="134"/>
    </font>
    <font>
      <sz val="11"/>
      <color rgb="FF002060"/>
      <name val="宋体"/>
      <family val="3"/>
      <charset val="134"/>
    </font>
    <font>
      <b/>
      <sz val="11"/>
      <color rgb="FF00206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rgb="FF7030A0"/>
      <name val="宋体"/>
      <family val="3"/>
      <charset val="134"/>
    </font>
    <font>
      <sz val="11"/>
      <color theme="1"/>
      <name val="Calibri"/>
      <family val="2"/>
      <charset val="161"/>
    </font>
    <font>
      <b/>
      <sz val="26"/>
      <color rgb="FFFF0000"/>
      <name val="宋体"/>
      <family val="3"/>
      <charset val="134"/>
    </font>
    <font>
      <b/>
      <sz val="11"/>
      <color theme="8" tint="-0.249977111117893"/>
      <name val="宋体"/>
      <family val="3"/>
      <charset val="134"/>
    </font>
    <font>
      <b/>
      <sz val="18"/>
      <color rgb="FFFFFF00"/>
      <name val="宋体"/>
      <family val="3"/>
      <charset val="134"/>
    </font>
    <font>
      <sz val="11"/>
      <color rgb="FFFFFF00"/>
      <name val="宋体"/>
      <family val="3"/>
      <charset val="134"/>
    </font>
    <font>
      <b/>
      <i/>
      <u/>
      <sz val="11"/>
      <color theme="1"/>
      <name val="宋体"/>
      <family val="3"/>
      <charset val="134"/>
    </font>
    <font>
      <b/>
      <sz val="11"/>
      <color theme="8" tint="-0.249977111117893"/>
      <name val="Calibri"/>
      <family val="3"/>
      <charset val="161"/>
    </font>
    <font>
      <b/>
      <sz val="11"/>
      <color rgb="FFFF0000"/>
      <name val="Calibri"/>
      <family val="2"/>
      <charset val="161"/>
    </font>
    <font>
      <b/>
      <sz val="11"/>
      <color rgb="FFFF0000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2"/>
      <charset val="134"/>
    </font>
    <font>
      <b/>
      <sz val="16"/>
      <color rgb="FFFF0000"/>
      <name val="宋体"/>
      <family val="3"/>
      <charset val="134"/>
    </font>
    <font>
      <sz val="14"/>
      <color theme="1"/>
      <name val="宋体"/>
      <family val="2"/>
      <charset val="134"/>
    </font>
    <font>
      <sz val="16"/>
      <color theme="1"/>
      <name val="宋体"/>
      <family val="2"/>
      <charset val="134"/>
    </font>
    <font>
      <b/>
      <sz val="12"/>
      <color rgb="FFFF0000"/>
      <name val="宋体"/>
      <family val="3"/>
      <charset val="134"/>
    </font>
    <font>
      <b/>
      <sz val="16"/>
      <color rgb="FFFF0000"/>
      <name val="宋体"/>
      <family val="2"/>
      <charset val="134"/>
    </font>
    <font>
      <b/>
      <sz val="16"/>
      <color rgb="FFFF0000"/>
      <name val="Calibri"/>
      <family val="2"/>
      <charset val="161"/>
    </font>
    <font>
      <b/>
      <sz val="18"/>
      <color theme="8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>
      <alignment vertical="center"/>
    </xf>
    <xf numFmtId="0" fontId="0" fillId="0" borderId="7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7" fillId="0" borderId="0" xfId="0" applyFont="1">
      <alignment vertical="center"/>
    </xf>
    <xf numFmtId="176" fontId="0" fillId="0" borderId="1" xfId="0" applyNumberFormat="1" applyBorder="1">
      <alignment vertical="center"/>
    </xf>
    <xf numFmtId="0" fontId="8" fillId="3" borderId="0" xfId="0" applyFont="1" applyFill="1">
      <alignment vertical="center"/>
    </xf>
    <xf numFmtId="0" fontId="0" fillId="3" borderId="0" xfId="0" applyFill="1">
      <alignment vertical="center"/>
    </xf>
    <xf numFmtId="0" fontId="9" fillId="4" borderId="0" xfId="0" applyFont="1" applyFill="1">
      <alignment vertical="center"/>
    </xf>
    <xf numFmtId="0" fontId="10" fillId="4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14" fillId="6" borderId="0" xfId="0" applyFont="1" applyFill="1">
      <alignment vertical="center"/>
    </xf>
    <xf numFmtId="0" fontId="10" fillId="7" borderId="0" xfId="0" applyFont="1" applyFill="1">
      <alignment vertical="center"/>
    </xf>
    <xf numFmtId="0" fontId="9" fillId="7" borderId="0" xfId="0" applyFont="1" applyFill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12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17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8" borderId="1" xfId="0" applyFill="1" applyBorder="1">
      <alignment vertical="center"/>
    </xf>
    <xf numFmtId="0" fontId="6" fillId="8" borderId="2" xfId="0" applyFont="1" applyFill="1" applyBorder="1" applyAlignment="1">
      <alignment horizontal="center" vertical="center"/>
    </xf>
    <xf numFmtId="0" fontId="17" fillId="5" borderId="0" xfId="0" applyFont="1" applyFill="1">
      <alignment vertical="center"/>
    </xf>
    <xf numFmtId="0" fontId="6" fillId="0" borderId="3" xfId="0" applyFont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4" fillId="2" borderId="3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18" fillId="9" borderId="1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right" vertical="center"/>
    </xf>
    <xf numFmtId="176" fontId="0" fillId="8" borderId="1" xfId="0" applyNumberFormat="1" applyFill="1" applyBorder="1">
      <alignment vertical="center"/>
    </xf>
    <xf numFmtId="2" fontId="0" fillId="8" borderId="1" xfId="0" applyNumberFormat="1" applyFill="1" applyBorder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right" vertical="center"/>
    </xf>
    <xf numFmtId="2" fontId="0" fillId="0" borderId="1" xfId="0" applyNumberFormat="1" applyBorder="1">
      <alignment vertical="center"/>
    </xf>
    <xf numFmtId="2" fontId="4" fillId="2" borderId="1" xfId="0" applyNumberFormat="1" applyFont="1" applyFill="1" applyBorder="1">
      <alignment vertical="center"/>
    </xf>
    <xf numFmtId="176" fontId="26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29" fillId="0" borderId="0" xfId="0" applyFont="1">
      <alignment vertical="center"/>
    </xf>
    <xf numFmtId="0" fontId="31" fillId="2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left" vertical="center"/>
    </xf>
    <xf numFmtId="0" fontId="33" fillId="8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VH(mV) - IS(mA)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'VH-IS'!$G$2</c:f>
              <c:strCache>
                <c:ptCount val="1"/>
                <c:pt idx="0">
                  <c:v>VH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'VH-IS'!$B$6:$B$15</c:f>
              <c:numCache>
                <c:formatCode>0.000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'VH-IS'!$G$6:$G$15</c:f>
              <c:numCache>
                <c:formatCode>0.00</c:formatCode>
                <c:ptCount val="10"/>
                <c:pt idx="0">
                  <c:v>5.6950000000000003</c:v>
                </c:pt>
                <c:pt idx="1">
                  <c:v>11.435</c:v>
                </c:pt>
                <c:pt idx="2">
                  <c:v>17.022500000000001</c:v>
                </c:pt>
                <c:pt idx="3">
                  <c:v>22.74</c:v>
                </c:pt>
                <c:pt idx="4">
                  <c:v>28.43</c:v>
                </c:pt>
                <c:pt idx="5">
                  <c:v>33.975000000000001</c:v>
                </c:pt>
                <c:pt idx="6">
                  <c:v>39.467500000000001</c:v>
                </c:pt>
                <c:pt idx="7">
                  <c:v>44.977500000000006</c:v>
                </c:pt>
                <c:pt idx="8">
                  <c:v>50.43</c:v>
                </c:pt>
                <c:pt idx="9">
                  <c:v>55.792500000000004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2-4FDB-9F24-D522CC7B2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VH(mV) - IM(mA)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'VH-IM'!$G$3</c:f>
              <c:strCache>
                <c:ptCount val="1"/>
                <c:pt idx="0">
                  <c:v>mV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'VH-IM'!$H$6:$H$15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'VH-IM'!$G$6:$G$15</c:f>
              <c:numCache>
                <c:formatCode>0.00</c:formatCode>
                <c:ptCount val="10"/>
                <c:pt idx="0">
                  <c:v>6.17</c:v>
                </c:pt>
                <c:pt idx="1">
                  <c:v>11.297499999999999</c:v>
                </c:pt>
                <c:pt idx="2">
                  <c:v>17.052499999999998</c:v>
                </c:pt>
                <c:pt idx="3">
                  <c:v>22.564999999999998</c:v>
                </c:pt>
                <c:pt idx="4">
                  <c:v>28.09</c:v>
                </c:pt>
                <c:pt idx="5">
                  <c:v>33.587499999999999</c:v>
                </c:pt>
                <c:pt idx="6">
                  <c:v>38.945</c:v>
                </c:pt>
                <c:pt idx="7">
                  <c:v>44.47</c:v>
                </c:pt>
                <c:pt idx="8">
                  <c:v>49.9925</c:v>
                </c:pt>
                <c:pt idx="9">
                  <c:v>55.472500000000004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E-4FF2-AAA8-7CFC80204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Vσ(mV) - IS(mA)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'Vσ-IS'!$C$2</c:f>
              <c:strCache>
                <c:ptCount val="1"/>
                <c:pt idx="0">
                  <c:v>Vσ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'Vσ-IS'!$B$4:$B$13</c:f>
              <c:numCache>
                <c:formatCode>0.000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'Vσ-IS'!$C$4:$C$13</c:f>
              <c:numCache>
                <c:formatCode>0.00</c:formatCode>
                <c:ptCount val="10"/>
                <c:pt idx="0">
                  <c:v>3.54</c:v>
                </c:pt>
                <c:pt idx="1">
                  <c:v>7.08</c:v>
                </c:pt>
                <c:pt idx="2">
                  <c:v>10.51</c:v>
                </c:pt>
                <c:pt idx="3">
                  <c:v>14.03</c:v>
                </c:pt>
                <c:pt idx="4">
                  <c:v>17.54</c:v>
                </c:pt>
                <c:pt idx="5">
                  <c:v>21</c:v>
                </c:pt>
                <c:pt idx="6">
                  <c:v>24.46</c:v>
                </c:pt>
                <c:pt idx="7">
                  <c:v>28.02</c:v>
                </c:pt>
                <c:pt idx="8">
                  <c:v>31.42</c:v>
                </c:pt>
                <c:pt idx="9">
                  <c:v>34.869999999999997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40-470C-90EB-A2CC841AC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B在X轴分布!$K$2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B在X轴分布!$C$6:$C$32</c:f>
              <c:numCache>
                <c:formatCode>General</c:formatCode>
                <c:ptCount val="27"/>
                <c:pt idx="0">
                  <c:v>-44</c:v>
                </c:pt>
                <c:pt idx="1">
                  <c:v>-38</c:v>
                </c:pt>
                <c:pt idx="2">
                  <c:v>-35</c:v>
                </c:pt>
                <c:pt idx="3">
                  <c:v>-32</c:v>
                </c:pt>
                <c:pt idx="4">
                  <c:v>-30</c:v>
                </c:pt>
                <c:pt idx="5">
                  <c:v>-26</c:v>
                </c:pt>
                <c:pt idx="6">
                  <c:v>-23</c:v>
                </c:pt>
                <c:pt idx="7">
                  <c:v>-21</c:v>
                </c:pt>
                <c:pt idx="8">
                  <c:v>-20</c:v>
                </c:pt>
                <c:pt idx="9">
                  <c:v>-19</c:v>
                </c:pt>
                <c:pt idx="10">
                  <c:v>-17</c:v>
                </c:pt>
                <c:pt idx="11">
                  <c:v>-13</c:v>
                </c:pt>
                <c:pt idx="12">
                  <c:v>-11</c:v>
                </c:pt>
                <c:pt idx="13">
                  <c:v>0</c:v>
                </c:pt>
                <c:pt idx="14">
                  <c:v>11</c:v>
                </c:pt>
                <c:pt idx="15">
                  <c:v>13</c:v>
                </c:pt>
                <c:pt idx="16">
                  <c:v>17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26</c:v>
                </c:pt>
                <c:pt idx="22">
                  <c:v>30</c:v>
                </c:pt>
                <c:pt idx="23">
                  <c:v>32</c:v>
                </c:pt>
                <c:pt idx="24">
                  <c:v>34</c:v>
                </c:pt>
                <c:pt idx="25">
                  <c:v>38</c:v>
                </c:pt>
                <c:pt idx="26">
                  <c:v>44</c:v>
                </c:pt>
              </c:numCache>
            </c:numRef>
          </c:xVal>
          <c:yVal>
            <c:numRef>
              <c:f>B在X轴分布!$K$6:$K$32</c:f>
              <c:numCache>
                <c:formatCode>0.00</c:formatCode>
                <c:ptCount val="27"/>
                <c:pt idx="0">
                  <c:v>1.4574311112803131</c:v>
                </c:pt>
                <c:pt idx="1">
                  <c:v>2.0345510716869071</c:v>
                </c:pt>
                <c:pt idx="2">
                  <c:v>2.4978727300414958</c:v>
                </c:pt>
                <c:pt idx="3">
                  <c:v>3.2237433281303525</c:v>
                </c:pt>
                <c:pt idx="4">
                  <c:v>3.8862120150759498</c:v>
                </c:pt>
                <c:pt idx="5">
                  <c:v>6.2247671222446401</c:v>
                </c:pt>
                <c:pt idx="6">
                  <c:v>9.8175420870293486</c:v>
                </c:pt>
                <c:pt idx="7">
                  <c:v>13.183533292724707</c:v>
                </c:pt>
                <c:pt idx="8">
                  <c:v>14.748259945939767</c:v>
                </c:pt>
                <c:pt idx="9">
                  <c:v>16.097582670270675</c:v>
                </c:pt>
                <c:pt idx="10">
                  <c:v>17.470477900026644</c:v>
                </c:pt>
                <c:pt idx="11">
                  <c:v>17.876087562340572</c:v>
                </c:pt>
                <c:pt idx="12">
                  <c:v>17.922419728176035</c:v>
                </c:pt>
                <c:pt idx="13">
                  <c:v>17.993137244451205</c:v>
                </c:pt>
                <c:pt idx="14">
                  <c:v>18.076047435946244</c:v>
                </c:pt>
                <c:pt idx="15">
                  <c:v>18.066293295770354</c:v>
                </c:pt>
                <c:pt idx="16">
                  <c:v>17.608661552518363</c:v>
                </c:pt>
                <c:pt idx="17">
                  <c:v>16.268280123348681</c:v>
                </c:pt>
                <c:pt idx="18">
                  <c:v>14.837672897552057</c:v>
                </c:pt>
                <c:pt idx="19">
                  <c:v>13.982559942132708</c:v>
                </c:pt>
                <c:pt idx="20">
                  <c:v>9.5639344424563113</c:v>
                </c:pt>
                <c:pt idx="21">
                  <c:v>6.0630109643278622</c:v>
                </c:pt>
                <c:pt idx="22">
                  <c:v>3.8244357939620048</c:v>
                </c:pt>
                <c:pt idx="23">
                  <c:v>3.1018165759317764</c:v>
                </c:pt>
                <c:pt idx="24">
                  <c:v>2.7441647694826203</c:v>
                </c:pt>
                <c:pt idx="25">
                  <c:v>1.9646464004263895</c:v>
                </c:pt>
                <c:pt idx="26">
                  <c:v>1.3403814291696801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F-4132-810C-46F0AB47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702848"/>
        <c:axId val="1063704288"/>
      </c:scatterChart>
      <c:valAx>
        <c:axId val="10637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704288"/>
        <c:crosses val="autoZero"/>
        <c:crossBetween val="midCat"/>
      </c:valAx>
      <c:valAx>
        <c:axId val="10637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70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4  C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型电磁铁磁场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x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方向分布曲线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277077170121054"/>
          <c:y val="5.7655896461218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921155570650146E-2"/>
          <c:y val="0.21986333604851119"/>
          <c:w val="0.9067967383759209"/>
          <c:h val="0.66151303285365193"/>
        </c:manualLayout>
      </c:layout>
      <c:scatterChart>
        <c:scatterStyle val="smoothMarker"/>
        <c:varyColors val="0"/>
        <c:ser>
          <c:idx val="0"/>
          <c:order val="0"/>
          <c:tx>
            <c:v>磁感应强度B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B在X轴分布!$C$6:$C$32</c:f>
              <c:numCache>
                <c:formatCode>General</c:formatCode>
                <c:ptCount val="27"/>
                <c:pt idx="0">
                  <c:v>-44</c:v>
                </c:pt>
                <c:pt idx="1">
                  <c:v>-38</c:v>
                </c:pt>
                <c:pt idx="2">
                  <c:v>-35</c:v>
                </c:pt>
                <c:pt idx="3">
                  <c:v>-32</c:v>
                </c:pt>
                <c:pt idx="4">
                  <c:v>-30</c:v>
                </c:pt>
                <c:pt idx="5">
                  <c:v>-26</c:v>
                </c:pt>
                <c:pt idx="6">
                  <c:v>-23</c:v>
                </c:pt>
                <c:pt idx="7">
                  <c:v>-21</c:v>
                </c:pt>
                <c:pt idx="8">
                  <c:v>-20</c:v>
                </c:pt>
                <c:pt idx="9">
                  <c:v>-19</c:v>
                </c:pt>
                <c:pt idx="10">
                  <c:v>-17</c:v>
                </c:pt>
                <c:pt idx="11">
                  <c:v>-13</c:v>
                </c:pt>
                <c:pt idx="12">
                  <c:v>-11</c:v>
                </c:pt>
                <c:pt idx="13">
                  <c:v>0</c:v>
                </c:pt>
                <c:pt idx="14">
                  <c:v>11</c:v>
                </c:pt>
                <c:pt idx="15">
                  <c:v>13</c:v>
                </c:pt>
                <c:pt idx="16">
                  <c:v>17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26</c:v>
                </c:pt>
                <c:pt idx="22">
                  <c:v>30</c:v>
                </c:pt>
                <c:pt idx="23">
                  <c:v>32</c:v>
                </c:pt>
                <c:pt idx="24">
                  <c:v>34</c:v>
                </c:pt>
                <c:pt idx="25">
                  <c:v>38</c:v>
                </c:pt>
                <c:pt idx="26">
                  <c:v>44</c:v>
                </c:pt>
              </c:numCache>
            </c:numRef>
          </c:xVal>
          <c:yVal>
            <c:numRef>
              <c:f>B在X轴分布!$K$6:$K$32</c:f>
              <c:numCache>
                <c:formatCode>0.00</c:formatCode>
                <c:ptCount val="27"/>
                <c:pt idx="0">
                  <c:v>1.4574311112803131</c:v>
                </c:pt>
                <c:pt idx="1">
                  <c:v>2.0345510716869071</c:v>
                </c:pt>
                <c:pt idx="2">
                  <c:v>2.4978727300414958</c:v>
                </c:pt>
                <c:pt idx="3">
                  <c:v>3.2237433281303525</c:v>
                </c:pt>
                <c:pt idx="4">
                  <c:v>3.8862120150759498</c:v>
                </c:pt>
                <c:pt idx="5">
                  <c:v>6.2247671222446401</c:v>
                </c:pt>
                <c:pt idx="6">
                  <c:v>9.8175420870293486</c:v>
                </c:pt>
                <c:pt idx="7">
                  <c:v>13.183533292724707</c:v>
                </c:pt>
                <c:pt idx="8">
                  <c:v>14.748259945939767</c:v>
                </c:pt>
                <c:pt idx="9">
                  <c:v>16.097582670270675</c:v>
                </c:pt>
                <c:pt idx="10">
                  <c:v>17.470477900026644</c:v>
                </c:pt>
                <c:pt idx="11">
                  <c:v>17.876087562340572</c:v>
                </c:pt>
                <c:pt idx="12">
                  <c:v>17.922419728176035</c:v>
                </c:pt>
                <c:pt idx="13">
                  <c:v>17.993137244451205</c:v>
                </c:pt>
                <c:pt idx="14">
                  <c:v>18.076047435946244</c:v>
                </c:pt>
                <c:pt idx="15">
                  <c:v>18.066293295770354</c:v>
                </c:pt>
                <c:pt idx="16">
                  <c:v>17.608661552518363</c:v>
                </c:pt>
                <c:pt idx="17">
                  <c:v>16.268280123348681</c:v>
                </c:pt>
                <c:pt idx="18">
                  <c:v>14.837672897552057</c:v>
                </c:pt>
                <c:pt idx="19">
                  <c:v>13.982559942132708</c:v>
                </c:pt>
                <c:pt idx="20">
                  <c:v>9.5639344424563113</c:v>
                </c:pt>
                <c:pt idx="21">
                  <c:v>6.0630109643278622</c:v>
                </c:pt>
                <c:pt idx="22">
                  <c:v>3.8244357939620048</c:v>
                </c:pt>
                <c:pt idx="23">
                  <c:v>3.1018165759317764</c:v>
                </c:pt>
                <c:pt idx="24">
                  <c:v>2.7441647694826203</c:v>
                </c:pt>
                <c:pt idx="25">
                  <c:v>1.9646464004263895</c:v>
                </c:pt>
                <c:pt idx="26">
                  <c:v>1.3403814291696801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4A-449A-ABCD-9275F0E61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72849690610455"/>
          <c:y val="6.165852113313422E-2"/>
          <c:w val="0.2472714144932627"/>
          <c:h val="0.10414135084325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1  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恒定磁场下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V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H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与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I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S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的关系示意图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725316433758326"/>
          <c:y val="4.7916603815327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35024144081436"/>
          <c:y val="0.15281347733832121"/>
          <c:w val="0.75493459502448479"/>
          <c:h val="0.75300831648917443"/>
        </c:manualLayout>
      </c:layout>
      <c:scatterChart>
        <c:scatterStyle val="smoothMarker"/>
        <c:varyColors val="0"/>
        <c:ser>
          <c:idx val="0"/>
          <c:order val="0"/>
          <c:tx>
            <c:v>VH-IS拟合直线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910533598486036E-2"/>
                  <c:y val="0.272388158184137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'VH-IS'!$B$6:$B$15</c:f>
              <c:numCache>
                <c:formatCode>0.000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'VH-IS'!$G$6:$G$15</c:f>
              <c:numCache>
                <c:formatCode>0.00</c:formatCode>
                <c:ptCount val="10"/>
                <c:pt idx="0">
                  <c:v>5.6950000000000003</c:v>
                </c:pt>
                <c:pt idx="1">
                  <c:v>11.435</c:v>
                </c:pt>
                <c:pt idx="2">
                  <c:v>17.022500000000001</c:v>
                </c:pt>
                <c:pt idx="3">
                  <c:v>22.74</c:v>
                </c:pt>
                <c:pt idx="4">
                  <c:v>28.43</c:v>
                </c:pt>
                <c:pt idx="5">
                  <c:v>33.975000000000001</c:v>
                </c:pt>
                <c:pt idx="6">
                  <c:v>39.467500000000001</c:v>
                </c:pt>
                <c:pt idx="7">
                  <c:v>44.977500000000006</c:v>
                </c:pt>
                <c:pt idx="8">
                  <c:v>50.43</c:v>
                </c:pt>
                <c:pt idx="9">
                  <c:v>55.792500000000004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6E-4910-AA2D-38B3D6A04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55914557530067"/>
          <c:y val="3.3320381041755227E-2"/>
          <c:w val="0.23931071620893915"/>
          <c:h val="0.10530213052977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2  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恒定磁场下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V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H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与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I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M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的关系示意图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926335174953957"/>
          <c:y val="5.4302422723475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35024144081436"/>
          <c:y val="0.1911277537676212"/>
          <c:w val="0.73464390776656274"/>
          <c:h val="0.71469421585459714"/>
        </c:manualLayout>
      </c:layout>
      <c:scatterChart>
        <c:scatterStyle val="smoothMarker"/>
        <c:varyColors val="0"/>
        <c:ser>
          <c:idx val="0"/>
          <c:order val="0"/>
          <c:tx>
            <c:v>VH-IM拟合直线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883045357035288E-2"/>
                  <c:y val="0.298339333977304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'VH-IM'!$H$6:$H$15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'VH-IM'!$G$6:$G$15</c:f>
              <c:numCache>
                <c:formatCode>0.00</c:formatCode>
                <c:ptCount val="10"/>
                <c:pt idx="0">
                  <c:v>6.17</c:v>
                </c:pt>
                <c:pt idx="1">
                  <c:v>11.297499999999999</c:v>
                </c:pt>
                <c:pt idx="2">
                  <c:v>17.052499999999998</c:v>
                </c:pt>
                <c:pt idx="3">
                  <c:v>22.564999999999998</c:v>
                </c:pt>
                <c:pt idx="4">
                  <c:v>28.09</c:v>
                </c:pt>
                <c:pt idx="5">
                  <c:v>33.587499999999999</c:v>
                </c:pt>
                <c:pt idx="6">
                  <c:v>38.945</c:v>
                </c:pt>
                <c:pt idx="7">
                  <c:v>44.47</c:v>
                </c:pt>
                <c:pt idx="8">
                  <c:v>49.9925</c:v>
                </c:pt>
                <c:pt idx="9">
                  <c:v>55.472500000000004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56-4AA0-A301-FCB55771C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30554992101401"/>
          <c:y val="4.5339987705997724E-2"/>
          <c:w val="0.28132364919902253"/>
          <c:h val="0.11400654051308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3  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零磁场下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I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S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与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V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σ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的关系示意图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926335174953957"/>
          <c:y val="5.4302422723475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35024144081436"/>
          <c:y val="0.1911277537676212"/>
          <c:w val="0.75571124185319527"/>
          <c:h val="0.71469421585459714"/>
        </c:manualLayout>
      </c:layout>
      <c:scatterChart>
        <c:scatterStyle val="smoothMarker"/>
        <c:varyColors val="0"/>
        <c:ser>
          <c:idx val="0"/>
          <c:order val="0"/>
          <c:tx>
            <c:v>IS-Vσ拟合直线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124140696780134E-2"/>
                  <c:y val="0.24393687140927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'Vσ-IS'!$C$4:$C$13</c:f>
              <c:numCache>
                <c:formatCode>0.00</c:formatCode>
                <c:ptCount val="10"/>
                <c:pt idx="0">
                  <c:v>3.54</c:v>
                </c:pt>
                <c:pt idx="1">
                  <c:v>7.08</c:v>
                </c:pt>
                <c:pt idx="2">
                  <c:v>10.51</c:v>
                </c:pt>
                <c:pt idx="3">
                  <c:v>14.03</c:v>
                </c:pt>
                <c:pt idx="4">
                  <c:v>17.54</c:v>
                </c:pt>
                <c:pt idx="5">
                  <c:v>21</c:v>
                </c:pt>
                <c:pt idx="6">
                  <c:v>24.46</c:v>
                </c:pt>
                <c:pt idx="7">
                  <c:v>28.02</c:v>
                </c:pt>
                <c:pt idx="8">
                  <c:v>31.42</c:v>
                </c:pt>
                <c:pt idx="9">
                  <c:v>34.869999999999997</c:v>
                </c:pt>
              </c:numCache>
            </c:numRef>
          </c:xVal>
          <c:yVal>
            <c:numRef>
              <c:f>'Vσ-IS'!$B$4:$B$13</c:f>
              <c:numCache>
                <c:formatCode>0.000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68-4E6A-A6AE-DF5F2C695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94539365589559"/>
          <c:y val="5.463206830515336E-2"/>
          <c:w val="0.25162696481760011"/>
          <c:h val="8.5023335105619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17</xdr:row>
      <xdr:rowOff>53340</xdr:rowOff>
    </xdr:from>
    <xdr:to>
      <xdr:col>13</xdr:col>
      <xdr:colOff>327660</xdr:colOff>
      <xdr:row>27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D887AA-9F49-9A10-C5EE-42CE52F48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17</xdr:row>
      <xdr:rowOff>53340</xdr:rowOff>
    </xdr:from>
    <xdr:to>
      <xdr:col>14</xdr:col>
      <xdr:colOff>327660</xdr:colOff>
      <xdr:row>27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566F5A6-8EBF-4B34-864B-A8029C00B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</xdr:colOff>
      <xdr:row>4</xdr:row>
      <xdr:rowOff>60960</xdr:rowOff>
    </xdr:from>
    <xdr:to>
      <xdr:col>16</xdr:col>
      <xdr:colOff>838200</xdr:colOff>
      <xdr:row>14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7B1E58-3C7C-48D4-AA61-C8ACA51A3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83820</xdr:colOff>
      <xdr:row>16</xdr:row>
      <xdr:rowOff>76200</xdr:rowOff>
    </xdr:from>
    <xdr:to>
      <xdr:col>17</xdr:col>
      <xdr:colOff>300990</xdr:colOff>
      <xdr:row>28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EDA3090-ACFA-9307-8204-9489BC9CE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14</xdr:row>
      <xdr:rowOff>167640</xdr:rowOff>
    </xdr:from>
    <xdr:to>
      <xdr:col>14</xdr:col>
      <xdr:colOff>373380</xdr:colOff>
      <xdr:row>26</xdr:row>
      <xdr:rowOff>175260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C5F2BED-7575-4E83-B01F-0FC523B4B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163830</xdr:colOff>
      <xdr:row>3</xdr:row>
      <xdr:rowOff>91440</xdr:rowOff>
    </xdr:from>
    <xdr:to>
      <xdr:col>7</xdr:col>
      <xdr:colOff>266700</xdr:colOff>
      <xdr:row>13</xdr:row>
      <xdr:rowOff>22860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CA7CFC-1CFD-26DD-AFB2-D86FCFE05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594360</xdr:colOff>
      <xdr:row>3</xdr:row>
      <xdr:rowOff>76200</xdr:rowOff>
    </xdr:from>
    <xdr:to>
      <xdr:col>13</xdr:col>
      <xdr:colOff>259080</xdr:colOff>
      <xdr:row>14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8F11172-5512-494B-9637-1395CD823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15</xdr:row>
      <xdr:rowOff>0</xdr:rowOff>
    </xdr:from>
    <xdr:to>
      <xdr:col>7</xdr:col>
      <xdr:colOff>358140</xdr:colOff>
      <xdr:row>27</xdr:row>
      <xdr:rowOff>22860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86A837B-B5E1-4160-997C-207420A90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0.06005</cdr:x>
      <cdr:y>0.11275</cdr:y>
    </cdr:from>
    <cdr:to>
      <cdr:x>0.26005</cdr:x>
      <cdr:y>0.22664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403128" y="498292"/>
          <a:ext cx="1342644" cy="5033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1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</a:t>
          </a:r>
          <a:r>
            <a:rPr kumimoji="0" lang="en-US" altLang="zh-CN" sz="1100" b="0" i="1" u="none" strike="noStrike" kern="1200" cap="none" spc="0" normalizeH="0" baseline="-2500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</a:t>
          </a:r>
          <a:r>
            <a:rPr kumimoji="0" lang="en-US" altLang="zh-CN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=0.200A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10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=2.000mA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0.40567</cdr:x>
      <cdr:y>0.13685</cdr:y>
    </cdr:from>
    <cdr:to>
      <cdr:x>0.60567</cdr:x>
      <cdr:y>0.25074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2723327" y="604830"/>
          <a:ext cx="1342644" cy="5033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(mT)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0.40499</cdr:x>
      <cdr:y>0.91227</cdr:y>
    </cdr:from>
    <cdr:to>
      <cdr:x>0.60499</cdr:x>
      <cdr:y>0.98994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2718816" y="3454883"/>
          <a:ext cx="1342644" cy="294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1050" i="0" kern="1200">
              <a:latin typeface="宋体" panose="02010600030101010101" pitchFamily="2" charset="-122"/>
              <a:ea typeface="宋体" panose="02010600030101010101" pitchFamily="2" charset="-122"/>
              <a:cs typeface="Times New Roman" panose="02020603050405020304" pitchFamily="18" charset="0"/>
            </a:rPr>
            <a:t>相对位置</a:t>
          </a:r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x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(mm)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0.13837</cdr:x>
      <cdr:y>0.19837</cdr:y>
    </cdr:from>
    <cdr:to>
      <cdr:x>0.33837</cdr:x>
      <cdr:y>0.31226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667966" y="603123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10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M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=0.200A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0.00856</cdr:x>
      <cdr:y>0.06471</cdr:y>
    </cdr:from>
    <cdr:to>
      <cdr:x>0.20856</cdr:x>
      <cdr:y>0.1786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46726" y="257388"/>
          <a:ext cx="1091946" cy="453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V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H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(mV)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0.79653</cdr:x>
      <cdr:y>0.85086</cdr:y>
    </cdr:from>
    <cdr:to>
      <cdr:x>0.99653</cdr:x>
      <cdr:y>0.96475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4136408" y="3384430"/>
          <a:ext cx="1038606" cy="453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(mA)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0.13837</cdr:x>
      <cdr:y>0.19837</cdr:y>
    </cdr:from>
    <cdr:to>
      <cdr:x>0.33837</cdr:x>
      <cdr:y>0.31226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667966" y="603123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10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=2.000mA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0.00158</cdr:x>
      <cdr:y>0.08195</cdr:y>
    </cdr:from>
    <cdr:to>
      <cdr:x>0.20158</cdr:x>
      <cdr:y>0.19584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7620" y="249170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V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H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(mV)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</cdr:x>
      <cdr:y>0.88611</cdr:y>
    </cdr:from>
    <cdr:to>
      <cdr:x>1</cdr:x>
      <cdr:y>1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3861816" y="2694114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M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(mA)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0.13837</cdr:x>
      <cdr:y>0.19837</cdr:y>
    </cdr:from>
    <cdr:to>
      <cdr:x>0.33837</cdr:x>
      <cdr:y>0.31226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667966" y="603123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=0T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0.00158</cdr:x>
      <cdr:y>0.08195</cdr:y>
    </cdr:from>
    <cdr:to>
      <cdr:x>0.20158</cdr:x>
      <cdr:y>0.19584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7620" y="249170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(mA)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0.79555</cdr:x>
      <cdr:y>0.82823</cdr:y>
    </cdr:from>
    <cdr:to>
      <cdr:x>0.99555</cdr:x>
      <cdr:y>0.94212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4316203" y="1962761"/>
          <a:ext cx="1085088" cy="269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V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σ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(mV)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9252-99A9-4B14-AD1B-765EE71DCC72}">
  <dimension ref="A1:R27"/>
  <sheetViews>
    <sheetView tabSelected="1" zoomScaleNormal="100" workbookViewId="0"/>
  </sheetViews>
  <sheetFormatPr defaultRowHeight="14.4"/>
  <cols>
    <col min="3" max="6" width="10" bestFit="1" customWidth="1"/>
    <col min="7" max="7" width="20.33203125" customWidth="1"/>
    <col min="8" max="9" width="10" customWidth="1"/>
    <col min="10" max="10" width="13.77734375" customWidth="1"/>
    <col min="11" max="11" width="11.88671875" customWidth="1"/>
    <col min="12" max="12" width="11.109375" customWidth="1"/>
    <col min="13" max="13" width="8.44140625" customWidth="1"/>
    <col min="15" max="16" width="15.33203125" customWidth="1"/>
    <col min="17" max="17" width="12.88671875" customWidth="1"/>
  </cols>
  <sheetData>
    <row r="1" spans="1:18">
      <c r="A1" t="s">
        <v>141</v>
      </c>
      <c r="B1" s="31" t="s">
        <v>35</v>
      </c>
      <c r="C1" s="30"/>
      <c r="F1" s="7" t="s">
        <v>46</v>
      </c>
      <c r="G1" s="44">
        <v>0.2</v>
      </c>
      <c r="M1" s="46" t="s">
        <v>61</v>
      </c>
      <c r="N1" s="44">
        <v>0.12</v>
      </c>
      <c r="O1" s="7" t="s">
        <v>63</v>
      </c>
      <c r="P1" s="5">
        <v>4.0000000000000001E-3</v>
      </c>
    </row>
    <row r="2" spans="1:18">
      <c r="A2" s="15" t="s">
        <v>20</v>
      </c>
      <c r="B2" s="9" t="s">
        <v>5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0" t="s">
        <v>41</v>
      </c>
      <c r="I2" s="1" t="s">
        <v>40</v>
      </c>
      <c r="J2" s="1"/>
      <c r="K2" s="46" t="s">
        <v>62</v>
      </c>
      <c r="L2" s="5">
        <f>1.602*10^(-19)</f>
        <v>1.602E-19</v>
      </c>
      <c r="M2" s="46" t="s">
        <v>95</v>
      </c>
      <c r="N2" s="5">
        <f>N1/1000</f>
        <v>1.1999999999999999E-4</v>
      </c>
      <c r="O2" s="7" t="s">
        <v>96</v>
      </c>
      <c r="P2" s="5">
        <f>P1/1000</f>
        <v>3.9999999999999998E-6</v>
      </c>
    </row>
    <row r="3" spans="1:18">
      <c r="A3" s="15" t="s">
        <v>22</v>
      </c>
      <c r="B3" s="32" t="s">
        <v>6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1" t="s">
        <v>89</v>
      </c>
      <c r="I3" s="1" t="s">
        <v>86</v>
      </c>
    </row>
    <row r="4" spans="1:18" ht="28.8">
      <c r="A4" s="8"/>
      <c r="B4" s="8"/>
      <c r="C4" s="4" t="s">
        <v>29</v>
      </c>
      <c r="D4" s="4" t="s">
        <v>30</v>
      </c>
      <c r="E4" s="4" t="s">
        <v>28</v>
      </c>
      <c r="F4" s="4" t="s">
        <v>31</v>
      </c>
      <c r="G4" s="10" t="s">
        <v>4</v>
      </c>
      <c r="H4" s="45"/>
      <c r="I4" s="45"/>
      <c r="J4" s="41"/>
      <c r="K4" t="s">
        <v>24</v>
      </c>
      <c r="O4" s="54" t="s">
        <v>56</v>
      </c>
      <c r="P4" s="55"/>
      <c r="Q4" s="48">
        <v>90.58</v>
      </c>
      <c r="R4" s="50" t="s">
        <v>55</v>
      </c>
    </row>
    <row r="5" spans="1:18">
      <c r="A5" s="24" t="s">
        <v>3</v>
      </c>
      <c r="B5" s="23"/>
      <c r="C5" s="18">
        <v>-1</v>
      </c>
      <c r="D5" s="19">
        <v>1</v>
      </c>
      <c r="E5" s="19">
        <v>-1</v>
      </c>
      <c r="F5" s="19">
        <v>1</v>
      </c>
      <c r="G5" s="17"/>
      <c r="I5" s="2"/>
      <c r="J5" s="2"/>
      <c r="K5" s="49" t="s">
        <v>57</v>
      </c>
      <c r="L5" s="33"/>
      <c r="M5" s="33"/>
      <c r="O5" t="s">
        <v>80</v>
      </c>
    </row>
    <row r="6" spans="1:18">
      <c r="A6" s="8">
        <v>1</v>
      </c>
      <c r="B6" s="27">
        <v>0.2</v>
      </c>
      <c r="C6" s="69">
        <v>5.63</v>
      </c>
      <c r="D6" s="69">
        <v>5.74</v>
      </c>
      <c r="E6" s="69">
        <v>5.76</v>
      </c>
      <c r="F6" s="69">
        <v>5.65</v>
      </c>
      <c r="G6" s="73">
        <f>ABS(C6*$C$5-D6*$D$5+E6*$E$5-F6*$F$5)/4</f>
        <v>5.6950000000000003</v>
      </c>
      <c r="H6">
        <f>B6^2</f>
        <v>4.0000000000000008E-2</v>
      </c>
      <c r="I6">
        <f>B6*G6</f>
        <v>1.139</v>
      </c>
      <c r="K6" t="s">
        <v>39</v>
      </c>
      <c r="L6" s="39">
        <f>AVERAGE(B6:B15)</f>
        <v>1.1000000000000001</v>
      </c>
    </row>
    <row r="7" spans="1:18">
      <c r="A7" s="8">
        <v>2</v>
      </c>
      <c r="B7" s="27">
        <v>0.4</v>
      </c>
      <c r="C7" s="69">
        <v>11.33</v>
      </c>
      <c r="D7" s="69">
        <v>11.54</v>
      </c>
      <c r="E7" s="69">
        <v>11.55</v>
      </c>
      <c r="F7" s="69">
        <v>11.32</v>
      </c>
      <c r="G7" s="73">
        <f t="shared" ref="G7:G15" si="0">ABS(C7*$C$5-D7*$D$5+E7*$E$5-F7*$F$5)/4</f>
        <v>11.435</v>
      </c>
      <c r="H7">
        <f t="shared" ref="H7:H15" si="1">B7^2</f>
        <v>0.16000000000000003</v>
      </c>
      <c r="I7">
        <f t="shared" ref="I7:I15" si="2">B7*G7</f>
        <v>4.5740000000000007</v>
      </c>
      <c r="K7" t="s">
        <v>52</v>
      </c>
      <c r="L7">
        <f>AVERAGE(H6:H15)</f>
        <v>1.54</v>
      </c>
      <c r="O7" s="49" t="s">
        <v>58</v>
      </c>
      <c r="P7" s="33"/>
    </row>
    <row r="8" spans="1:18">
      <c r="A8" s="8">
        <v>3</v>
      </c>
      <c r="B8" s="27">
        <v>0.6</v>
      </c>
      <c r="C8" s="69">
        <v>16.95</v>
      </c>
      <c r="D8" s="69">
        <v>16.95</v>
      </c>
      <c r="E8" s="69">
        <v>17.25</v>
      </c>
      <c r="F8" s="69">
        <v>16.940000000000001</v>
      </c>
      <c r="G8" s="73">
        <f t="shared" si="0"/>
        <v>17.022500000000001</v>
      </c>
      <c r="H8">
        <f t="shared" si="1"/>
        <v>0.36</v>
      </c>
      <c r="I8">
        <f t="shared" si="2"/>
        <v>10.2135</v>
      </c>
      <c r="K8" t="s">
        <v>51</v>
      </c>
      <c r="L8">
        <f>AVERAGE(G6:G15)</f>
        <v>30.996500000000005</v>
      </c>
      <c r="O8" s="43" t="s">
        <v>45</v>
      </c>
      <c r="P8" s="53">
        <f>L11*N2/(G1*Q4/1000)</f>
        <v>0.18453702402697769</v>
      </c>
      <c r="Q8" s="52" t="s">
        <v>74</v>
      </c>
    </row>
    <row r="9" spans="1:18">
      <c r="A9" s="8">
        <v>4</v>
      </c>
      <c r="B9" s="27">
        <v>0.8</v>
      </c>
      <c r="C9" s="69">
        <v>22.52</v>
      </c>
      <c r="D9" s="69">
        <v>22.95</v>
      </c>
      <c r="E9" s="69">
        <v>22.97</v>
      </c>
      <c r="F9" s="69">
        <v>22.52</v>
      </c>
      <c r="G9" s="73">
        <f t="shared" si="0"/>
        <v>22.74</v>
      </c>
      <c r="H9">
        <f t="shared" si="1"/>
        <v>0.64000000000000012</v>
      </c>
      <c r="I9">
        <f t="shared" si="2"/>
        <v>18.192</v>
      </c>
      <c r="K9" t="s">
        <v>50</v>
      </c>
      <c r="L9">
        <f>AVERAGE(I6:I15)</f>
        <v>43.289600000000007</v>
      </c>
      <c r="O9" s="43" t="s">
        <v>48</v>
      </c>
      <c r="P9" s="53">
        <f>1/(P8*L2)</f>
        <v>3.3826259453065929E+19</v>
      </c>
      <c r="Q9" s="52" t="s">
        <v>75</v>
      </c>
    </row>
    <row r="10" spans="1:18">
      <c r="A10" s="8">
        <v>5</v>
      </c>
      <c r="B10" s="27">
        <v>1</v>
      </c>
      <c r="C10" s="69">
        <v>28.17</v>
      </c>
      <c r="D10" s="69">
        <v>28.68</v>
      </c>
      <c r="E10" s="69">
        <v>28.72</v>
      </c>
      <c r="F10" s="69">
        <v>28.15</v>
      </c>
      <c r="G10" s="73">
        <f t="shared" si="0"/>
        <v>28.43</v>
      </c>
      <c r="H10">
        <f t="shared" si="1"/>
        <v>1</v>
      </c>
      <c r="I10">
        <f t="shared" si="2"/>
        <v>28.43</v>
      </c>
      <c r="K10" t="s">
        <v>42</v>
      </c>
      <c r="O10" s="56" t="s">
        <v>78</v>
      </c>
      <c r="P10" s="57">
        <f>P9/(100^3)</f>
        <v>33826259453065.93</v>
      </c>
      <c r="Q10" s="57" t="s">
        <v>49</v>
      </c>
      <c r="R10" s="37"/>
    </row>
    <row r="11" spans="1:18">
      <c r="A11" s="8">
        <v>6</v>
      </c>
      <c r="B11" s="27">
        <v>1.2</v>
      </c>
      <c r="C11" s="69">
        <v>33.68</v>
      </c>
      <c r="D11" s="69">
        <v>34.32</v>
      </c>
      <c r="E11" s="69">
        <v>34.36</v>
      </c>
      <c r="F11" s="69">
        <v>33.54</v>
      </c>
      <c r="G11" s="73">
        <f t="shared" si="0"/>
        <v>33.975000000000001</v>
      </c>
      <c r="H11">
        <f t="shared" si="1"/>
        <v>1.44</v>
      </c>
      <c r="I11">
        <f t="shared" si="2"/>
        <v>40.770000000000003</v>
      </c>
      <c r="K11" s="43" t="s">
        <v>43</v>
      </c>
      <c r="L11" s="53">
        <f>(L9-L6*L8)/(L7-(L6)^2)</f>
        <v>27.858939393939401</v>
      </c>
      <c r="M11" s="52" t="s">
        <v>108</v>
      </c>
    </row>
    <row r="12" spans="1:18">
      <c r="A12" s="8">
        <v>7</v>
      </c>
      <c r="B12" s="27">
        <v>1.4</v>
      </c>
      <c r="C12" s="69">
        <v>39.11</v>
      </c>
      <c r="D12" s="69">
        <v>39.79</v>
      </c>
      <c r="E12" s="69">
        <v>39.93</v>
      </c>
      <c r="F12" s="69">
        <v>39.04</v>
      </c>
      <c r="G12" s="73">
        <f t="shared" si="0"/>
        <v>39.467500000000001</v>
      </c>
      <c r="H12">
        <f t="shared" si="1"/>
        <v>1.9599999999999997</v>
      </c>
      <c r="I12">
        <f t="shared" si="2"/>
        <v>55.2545</v>
      </c>
      <c r="K12" t="s">
        <v>44</v>
      </c>
      <c r="L12">
        <f>L8-L11*L6</f>
        <v>0.35166666666665947</v>
      </c>
      <c r="M12" t="s">
        <v>13</v>
      </c>
      <c r="O12" s="49" t="s">
        <v>59</v>
      </c>
      <c r="P12" s="49"/>
      <c r="Q12" t="s">
        <v>65</v>
      </c>
    </row>
    <row r="13" spans="1:18">
      <c r="A13" s="8">
        <v>8</v>
      </c>
      <c r="B13" s="27">
        <v>1.6</v>
      </c>
      <c r="C13" s="69">
        <v>44.59</v>
      </c>
      <c r="D13" s="69">
        <v>45.4</v>
      </c>
      <c r="E13" s="69">
        <v>45.47</v>
      </c>
      <c r="F13" s="69">
        <v>44.45</v>
      </c>
      <c r="G13" s="73">
        <f t="shared" si="0"/>
        <v>44.977500000000006</v>
      </c>
      <c r="H13">
        <f t="shared" si="1"/>
        <v>2.5600000000000005</v>
      </c>
      <c r="I13">
        <f t="shared" si="2"/>
        <v>71.964000000000013</v>
      </c>
      <c r="K13" t="s">
        <v>54</v>
      </c>
      <c r="L13">
        <f>PEARSON(B6:B15,G6:G15)</f>
        <v>0.99995117607003503</v>
      </c>
      <c r="O13" t="s">
        <v>69</v>
      </c>
    </row>
    <row r="14" spans="1:18">
      <c r="A14" s="8">
        <v>9</v>
      </c>
      <c r="B14" s="27">
        <v>1.8</v>
      </c>
      <c r="C14" s="69">
        <v>49.99</v>
      </c>
      <c r="D14" s="69">
        <v>50.87</v>
      </c>
      <c r="E14" s="69">
        <v>50.98</v>
      </c>
      <c r="F14" s="69">
        <v>49.88</v>
      </c>
      <c r="G14" s="73">
        <f t="shared" si="0"/>
        <v>50.43</v>
      </c>
      <c r="H14">
        <f t="shared" si="1"/>
        <v>3.24</v>
      </c>
      <c r="I14">
        <f t="shared" si="2"/>
        <v>90.774000000000001</v>
      </c>
      <c r="O14" t="s">
        <v>64</v>
      </c>
      <c r="P14">
        <v>1E-3</v>
      </c>
    </row>
    <row r="15" spans="1:18">
      <c r="A15" s="8">
        <v>10</v>
      </c>
      <c r="B15" s="27">
        <v>2</v>
      </c>
      <c r="C15" s="69">
        <v>55.3</v>
      </c>
      <c r="D15" s="69">
        <v>56.27</v>
      </c>
      <c r="E15" s="69">
        <v>56.4</v>
      </c>
      <c r="F15" s="69">
        <v>55.2</v>
      </c>
      <c r="G15" s="73">
        <f t="shared" si="0"/>
        <v>55.792500000000004</v>
      </c>
      <c r="H15">
        <f t="shared" si="1"/>
        <v>4</v>
      </c>
      <c r="I15">
        <f t="shared" si="2"/>
        <v>111.58500000000001</v>
      </c>
      <c r="K15" t="s">
        <v>53</v>
      </c>
      <c r="O15" t="s">
        <v>66</v>
      </c>
      <c r="P15" s="42">
        <v>2</v>
      </c>
    </row>
    <row r="16" spans="1:18">
      <c r="O16" t="s">
        <v>67</v>
      </c>
      <c r="P16">
        <f>SQRT(3)</f>
        <v>1.7320508075688772</v>
      </c>
    </row>
    <row r="17" spans="2:17">
      <c r="B17" t="s">
        <v>129</v>
      </c>
      <c r="I17" t="s">
        <v>76</v>
      </c>
      <c r="O17" t="s">
        <v>68</v>
      </c>
      <c r="P17">
        <f>P15*(P14/2)/P16</f>
        <v>5.773502691896258E-4</v>
      </c>
    </row>
    <row r="18" spans="2:17">
      <c r="B18" t="s">
        <v>34</v>
      </c>
      <c r="O18" t="s">
        <v>70</v>
      </c>
    </row>
    <row r="19" spans="2:17">
      <c r="B19" s="16" t="s">
        <v>23</v>
      </c>
      <c r="O19" t="s">
        <v>60</v>
      </c>
      <c r="P19" s="51">
        <f>SQRT(((1/N2)*P2)^2+((1/G1)*P17)^2)</f>
        <v>3.3458099833141221E-2</v>
      </c>
    </row>
    <row r="20" spans="2:17" ht="25.8">
      <c r="B20" s="26" t="s">
        <v>132</v>
      </c>
      <c r="O20" t="s">
        <v>71</v>
      </c>
    </row>
    <row r="21" spans="2:17">
      <c r="B21" t="s">
        <v>25</v>
      </c>
      <c r="O21" s="43" t="s">
        <v>72</v>
      </c>
      <c r="P21" s="53">
        <f>P19*P8</f>
        <v>6.1742581728053995E-3</v>
      </c>
      <c r="Q21" s="52" t="s">
        <v>74</v>
      </c>
    </row>
    <row r="22" spans="2:17">
      <c r="O22" s="43" t="s">
        <v>73</v>
      </c>
      <c r="P22" s="53">
        <f>(P21/P8)*P9</f>
        <v>1.1317623657624168E+18</v>
      </c>
      <c r="Q22" s="52" t="s">
        <v>75</v>
      </c>
    </row>
    <row r="23" spans="2:17">
      <c r="B23" t="s">
        <v>88</v>
      </c>
      <c r="P23" s="7" t="s">
        <v>65</v>
      </c>
    </row>
    <row r="24" spans="2:17">
      <c r="B24" t="s">
        <v>128</v>
      </c>
    </row>
    <row r="25" spans="2:17">
      <c r="O25" s="58" t="s">
        <v>79</v>
      </c>
      <c r="P25" s="59"/>
    </row>
    <row r="26" spans="2:17">
      <c r="B26" s="71" t="s">
        <v>127</v>
      </c>
      <c r="C26" s="70" t="s">
        <v>125</v>
      </c>
      <c r="O26" s="60" t="s">
        <v>77</v>
      </c>
      <c r="P26" s="61"/>
    </row>
    <row r="27" spans="2:17">
      <c r="B27" s="72" t="s">
        <v>126</v>
      </c>
      <c r="C27" s="70" t="s">
        <v>142</v>
      </c>
      <c r="O27" s="62" t="s">
        <v>91</v>
      </c>
      <c r="P27" s="6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83CC-B918-4AC0-B590-58DC181EDA13}">
  <dimension ref="A1:S26"/>
  <sheetViews>
    <sheetView zoomScaleNormal="100" workbookViewId="0"/>
  </sheetViews>
  <sheetFormatPr defaultRowHeight="14.4"/>
  <cols>
    <col min="3" max="6" width="10" bestFit="1" customWidth="1"/>
    <col min="7" max="7" width="20.33203125" customWidth="1"/>
    <col min="8" max="8" width="10" customWidth="1"/>
    <col min="9" max="10" width="9.33203125" customWidth="1"/>
    <col min="11" max="11" width="5.109375" customWidth="1"/>
    <col min="12" max="12" width="11.88671875" customWidth="1"/>
    <col min="13" max="13" width="11.109375" customWidth="1"/>
    <col min="14" max="14" width="8.44140625" customWidth="1"/>
    <col min="16" max="17" width="15.33203125" customWidth="1"/>
    <col min="18" max="18" width="12.88671875" customWidth="1"/>
  </cols>
  <sheetData>
    <row r="1" spans="1:19">
      <c r="A1" s="28" t="s">
        <v>36</v>
      </c>
      <c r="B1" s="29"/>
      <c r="F1" s="7" t="s">
        <v>82</v>
      </c>
      <c r="G1" s="44">
        <v>2</v>
      </c>
      <c r="H1" s="1"/>
      <c r="I1" s="7" t="s">
        <v>83</v>
      </c>
      <c r="J1" s="5">
        <f>G1/1000</f>
        <v>2E-3</v>
      </c>
      <c r="N1" s="46" t="s">
        <v>61</v>
      </c>
      <c r="O1" s="44">
        <v>0.12</v>
      </c>
      <c r="P1" s="7" t="s">
        <v>63</v>
      </c>
      <c r="Q1" s="5">
        <v>4.0000000000000001E-3</v>
      </c>
    </row>
    <row r="2" spans="1:19">
      <c r="A2" s="15" t="s">
        <v>20</v>
      </c>
      <c r="B2" s="9" t="s">
        <v>26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9" t="s">
        <v>26</v>
      </c>
      <c r="I2" s="1" t="s">
        <v>84</v>
      </c>
      <c r="J2" s="1" t="s">
        <v>85</v>
      </c>
      <c r="K2" s="1"/>
      <c r="L2" s="46" t="s">
        <v>62</v>
      </c>
      <c r="M2" s="5">
        <f>1.602*10^(-19)</f>
        <v>1.602E-19</v>
      </c>
      <c r="N2" s="46" t="s">
        <v>95</v>
      </c>
      <c r="O2" s="5">
        <f>O1/1000</f>
        <v>1.1999999999999999E-4</v>
      </c>
      <c r="P2" s="7" t="s">
        <v>96</v>
      </c>
      <c r="Q2" s="5">
        <f>Q1/1000</f>
        <v>3.9999999999999998E-6</v>
      </c>
    </row>
    <row r="3" spans="1:19">
      <c r="A3" s="15" t="s">
        <v>22</v>
      </c>
      <c r="B3" s="32" t="s">
        <v>27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76" t="s">
        <v>6</v>
      </c>
      <c r="I3" s="1" t="s">
        <v>89</v>
      </c>
      <c r="J3" s="1" t="s">
        <v>86</v>
      </c>
    </row>
    <row r="4" spans="1:19" ht="28.8">
      <c r="A4" s="8"/>
      <c r="B4" s="8"/>
      <c r="C4" s="4" t="s">
        <v>29</v>
      </c>
      <c r="D4" s="4" t="s">
        <v>30</v>
      </c>
      <c r="E4" s="4" t="s">
        <v>28</v>
      </c>
      <c r="F4" s="4" t="s">
        <v>31</v>
      </c>
      <c r="G4" s="10" t="s">
        <v>4</v>
      </c>
      <c r="H4" s="1"/>
      <c r="I4" s="45"/>
      <c r="J4" s="45"/>
      <c r="K4" s="41"/>
      <c r="L4" t="s">
        <v>24</v>
      </c>
    </row>
    <row r="5" spans="1:19">
      <c r="A5" s="24" t="s">
        <v>3</v>
      </c>
      <c r="B5" s="23"/>
      <c r="C5" s="18">
        <v>-1</v>
      </c>
      <c r="D5" s="19">
        <v>1</v>
      </c>
      <c r="E5" s="19">
        <v>-1</v>
      </c>
      <c r="F5" s="19">
        <v>1</v>
      </c>
      <c r="G5" s="17"/>
      <c r="H5" s="1"/>
      <c r="J5" s="2"/>
      <c r="K5" s="2"/>
      <c r="L5" s="49" t="s">
        <v>57</v>
      </c>
      <c r="M5" s="33"/>
      <c r="N5" s="33"/>
      <c r="P5" s="49" t="s">
        <v>58</v>
      </c>
      <c r="Q5" s="33"/>
    </row>
    <row r="6" spans="1:19">
      <c r="A6" s="8">
        <v>1</v>
      </c>
      <c r="B6" s="75">
        <v>0.02</v>
      </c>
      <c r="C6" s="69">
        <v>5.3</v>
      </c>
      <c r="D6" s="69">
        <v>7.02</v>
      </c>
      <c r="E6" s="69">
        <v>7.04</v>
      </c>
      <c r="F6" s="69">
        <v>5.32</v>
      </c>
      <c r="G6" s="73">
        <f>ABS(C6*$C$5-D6*$D$5+E6*$E$5-F6*$F$5)/4</f>
        <v>6.17</v>
      </c>
      <c r="H6" s="1">
        <f>B6*1000</f>
        <v>20</v>
      </c>
      <c r="I6">
        <f>H6^2</f>
        <v>400</v>
      </c>
      <c r="J6">
        <f>G6*H6</f>
        <v>123.4</v>
      </c>
      <c r="L6" t="s">
        <v>39</v>
      </c>
      <c r="M6">
        <f>AVERAGE(H6:H15)</f>
        <v>110</v>
      </c>
      <c r="P6" s="43" t="s">
        <v>45</v>
      </c>
      <c r="Q6" s="53">
        <f>M11*O2/(J1*'VH-IS'!Q4/1000)</f>
        <v>0.18192105421626298</v>
      </c>
      <c r="R6" s="52" t="s">
        <v>74</v>
      </c>
    </row>
    <row r="7" spans="1:19">
      <c r="A7" s="8">
        <v>2</v>
      </c>
      <c r="B7" s="27">
        <v>0.04</v>
      </c>
      <c r="C7" s="69">
        <v>10.79</v>
      </c>
      <c r="D7" s="69">
        <v>12.01</v>
      </c>
      <c r="E7" s="69">
        <v>12.11</v>
      </c>
      <c r="F7" s="69">
        <v>10.28</v>
      </c>
      <c r="G7" s="73">
        <f t="shared" ref="G7:G15" si="0">ABS(C7*$C$5-D7*$D$5+E7*$E$5-F7*$F$5)/4</f>
        <v>11.297499999999999</v>
      </c>
      <c r="H7" s="1">
        <f t="shared" ref="H7:H15" si="1">B7*1000</f>
        <v>40</v>
      </c>
      <c r="I7">
        <f t="shared" ref="I7:I15" si="2">H7^2</f>
        <v>1600</v>
      </c>
      <c r="J7">
        <f t="shared" ref="J7:J15" si="3">G7*H7</f>
        <v>451.9</v>
      </c>
      <c r="L7" t="s">
        <v>52</v>
      </c>
      <c r="M7">
        <f>AVERAGE(I6:I15)</f>
        <v>15400</v>
      </c>
      <c r="P7" s="43" t="s">
        <v>48</v>
      </c>
      <c r="Q7" s="53">
        <f>1/(Q6*M2)</f>
        <v>3.4312670846842434E+19</v>
      </c>
      <c r="R7" s="52" t="s">
        <v>75</v>
      </c>
    </row>
    <row r="8" spans="1:19">
      <c r="A8" s="8">
        <v>3</v>
      </c>
      <c r="B8" s="27">
        <v>0.06</v>
      </c>
      <c r="C8" s="69">
        <v>16.55</v>
      </c>
      <c r="D8" s="69">
        <v>17.73</v>
      </c>
      <c r="E8" s="69">
        <v>17.91</v>
      </c>
      <c r="F8" s="69">
        <v>16.02</v>
      </c>
      <c r="G8" s="73">
        <f t="shared" si="0"/>
        <v>17.052499999999998</v>
      </c>
      <c r="H8" s="1">
        <f t="shared" si="1"/>
        <v>60</v>
      </c>
      <c r="I8">
        <f t="shared" si="2"/>
        <v>3600</v>
      </c>
      <c r="J8">
        <f t="shared" si="3"/>
        <v>1023.1499999999999</v>
      </c>
      <c r="L8" t="s">
        <v>51</v>
      </c>
      <c r="M8" s="42">
        <f>AVERAGE(G6:G15)</f>
        <v>30.764249999999997</v>
      </c>
      <c r="P8" s="56" t="s">
        <v>78</v>
      </c>
      <c r="Q8" s="57">
        <f>Q7/(100^3)</f>
        <v>34312670846842.434</v>
      </c>
      <c r="R8" s="57" t="s">
        <v>49</v>
      </c>
    </row>
    <row r="9" spans="1:19">
      <c r="A9" s="8">
        <v>4</v>
      </c>
      <c r="B9" s="27">
        <v>0.08</v>
      </c>
      <c r="C9" s="69">
        <v>22.05</v>
      </c>
      <c r="D9" s="69">
        <v>23.22</v>
      </c>
      <c r="E9" s="69">
        <v>23.41</v>
      </c>
      <c r="F9" s="69">
        <v>21.58</v>
      </c>
      <c r="G9" s="73">
        <f t="shared" si="0"/>
        <v>22.564999999999998</v>
      </c>
      <c r="H9" s="1">
        <f t="shared" si="1"/>
        <v>80</v>
      </c>
      <c r="I9">
        <f t="shared" si="2"/>
        <v>6400</v>
      </c>
      <c r="J9">
        <f t="shared" si="3"/>
        <v>1805.1999999999998</v>
      </c>
      <c r="L9" t="s">
        <v>50</v>
      </c>
      <c r="M9">
        <f>AVERAGE(J6:J15)</f>
        <v>4290.38</v>
      </c>
    </row>
    <row r="10" spans="1:19">
      <c r="A10" s="8">
        <v>5</v>
      </c>
      <c r="B10" s="27">
        <v>0.1</v>
      </c>
      <c r="C10" s="69">
        <v>27.56</v>
      </c>
      <c r="D10" s="69">
        <v>28.7</v>
      </c>
      <c r="E10" s="69">
        <v>28.93</v>
      </c>
      <c r="F10" s="69">
        <v>27.17</v>
      </c>
      <c r="G10" s="73">
        <f t="shared" si="0"/>
        <v>28.09</v>
      </c>
      <c r="H10" s="1">
        <f t="shared" si="1"/>
        <v>100</v>
      </c>
      <c r="I10">
        <f t="shared" si="2"/>
        <v>10000</v>
      </c>
      <c r="J10">
        <f t="shared" si="3"/>
        <v>2809</v>
      </c>
      <c r="L10" t="s">
        <v>42</v>
      </c>
      <c r="S10" s="37"/>
    </row>
    <row r="11" spans="1:19">
      <c r="A11" s="8">
        <v>6</v>
      </c>
      <c r="B11" s="27">
        <v>0.12</v>
      </c>
      <c r="C11" s="69">
        <v>33.06</v>
      </c>
      <c r="D11" s="69">
        <v>34.159999999999997</v>
      </c>
      <c r="E11" s="69">
        <v>34.44</v>
      </c>
      <c r="F11" s="69">
        <v>32.69</v>
      </c>
      <c r="G11" s="73">
        <f t="shared" si="0"/>
        <v>33.587499999999999</v>
      </c>
      <c r="H11" s="1">
        <f t="shared" si="1"/>
        <v>120</v>
      </c>
      <c r="I11">
        <f t="shared" si="2"/>
        <v>14400</v>
      </c>
      <c r="J11">
        <f t="shared" si="3"/>
        <v>4030.5</v>
      </c>
      <c r="L11" s="43" t="s">
        <v>43</v>
      </c>
      <c r="M11" s="53">
        <f>(M9-M6*M8)/(M7-(M6)^2)</f>
        <v>0.27464015151515164</v>
      </c>
      <c r="N11" s="52" t="s">
        <v>108</v>
      </c>
      <c r="P11" s="49" t="s">
        <v>59</v>
      </c>
      <c r="Q11" s="49"/>
      <c r="R11" t="s">
        <v>65</v>
      </c>
    </row>
    <row r="12" spans="1:19">
      <c r="A12" s="8">
        <v>7</v>
      </c>
      <c r="B12" s="27">
        <v>0.14000000000000001</v>
      </c>
      <c r="C12" s="69">
        <v>38.42</v>
      </c>
      <c r="D12" s="69">
        <v>39.5</v>
      </c>
      <c r="E12" s="69">
        <v>39.75</v>
      </c>
      <c r="F12" s="69">
        <v>38.11</v>
      </c>
      <c r="G12" s="73">
        <f t="shared" si="0"/>
        <v>38.945</v>
      </c>
      <c r="H12" s="1">
        <f t="shared" si="1"/>
        <v>140</v>
      </c>
      <c r="I12">
        <f t="shared" si="2"/>
        <v>19600</v>
      </c>
      <c r="J12">
        <f t="shared" si="3"/>
        <v>5452.3</v>
      </c>
      <c r="L12" t="s">
        <v>44</v>
      </c>
      <c r="M12">
        <f>M8-M11*M6</f>
        <v>0.55383333333331564</v>
      </c>
      <c r="N12" t="s">
        <v>13</v>
      </c>
      <c r="P12" t="s">
        <v>130</v>
      </c>
    </row>
    <row r="13" spans="1:19">
      <c r="A13" s="8">
        <v>8</v>
      </c>
      <c r="B13" s="27">
        <v>0.16</v>
      </c>
      <c r="C13" s="69">
        <v>43.94</v>
      </c>
      <c r="D13" s="69">
        <v>45.01</v>
      </c>
      <c r="E13" s="69">
        <v>45.27</v>
      </c>
      <c r="F13" s="69">
        <v>43.66</v>
      </c>
      <c r="G13" s="73">
        <f t="shared" si="0"/>
        <v>44.47</v>
      </c>
      <c r="H13" s="1">
        <f t="shared" si="1"/>
        <v>160</v>
      </c>
      <c r="I13">
        <f t="shared" si="2"/>
        <v>25600</v>
      </c>
      <c r="J13">
        <f t="shared" si="3"/>
        <v>7115.2</v>
      </c>
      <c r="L13" t="s">
        <v>54</v>
      </c>
      <c r="M13">
        <f>PEARSON(H6:H15,G6:G15)</f>
        <v>0.99998170523538221</v>
      </c>
      <c r="P13" t="s">
        <v>64</v>
      </c>
      <c r="Q13">
        <f>0.001/1000</f>
        <v>9.9999999999999995E-7</v>
      </c>
    </row>
    <row r="14" spans="1:19">
      <c r="A14" s="8">
        <v>9</v>
      </c>
      <c r="B14" s="27">
        <v>0.18</v>
      </c>
      <c r="C14" s="69">
        <v>49.45</v>
      </c>
      <c r="D14" s="69">
        <v>50.51</v>
      </c>
      <c r="E14" s="69">
        <v>50.76</v>
      </c>
      <c r="F14" s="69">
        <v>49.25</v>
      </c>
      <c r="G14" s="73">
        <f t="shared" si="0"/>
        <v>49.9925</v>
      </c>
      <c r="H14" s="1">
        <f t="shared" si="1"/>
        <v>180</v>
      </c>
      <c r="I14">
        <f t="shared" si="2"/>
        <v>32400</v>
      </c>
      <c r="J14">
        <f t="shared" si="3"/>
        <v>8998.65</v>
      </c>
      <c r="P14" t="s">
        <v>66</v>
      </c>
      <c r="Q14" s="42">
        <v>2</v>
      </c>
    </row>
    <row r="15" spans="1:19">
      <c r="A15" s="8">
        <v>10</v>
      </c>
      <c r="B15" s="27">
        <v>0.2</v>
      </c>
      <c r="C15" s="69">
        <v>54.96</v>
      </c>
      <c r="D15" s="69">
        <v>55.96</v>
      </c>
      <c r="E15" s="69">
        <v>56.19</v>
      </c>
      <c r="F15" s="69">
        <v>54.78</v>
      </c>
      <c r="G15" s="73">
        <f t="shared" si="0"/>
        <v>55.472500000000004</v>
      </c>
      <c r="H15" s="1">
        <f t="shared" si="1"/>
        <v>200</v>
      </c>
      <c r="I15">
        <f t="shared" si="2"/>
        <v>40000</v>
      </c>
      <c r="J15">
        <f t="shared" si="3"/>
        <v>11094.5</v>
      </c>
      <c r="L15" t="s">
        <v>92</v>
      </c>
      <c r="P15" t="s">
        <v>67</v>
      </c>
      <c r="Q15">
        <f>SQRT(3)</f>
        <v>1.7320508075688772</v>
      </c>
    </row>
    <row r="16" spans="1:19">
      <c r="H16" s="1"/>
      <c r="P16" t="s">
        <v>68</v>
      </c>
      <c r="Q16">
        <f>Q14*(Q13/2)/Q15</f>
        <v>5.7735026918962578E-7</v>
      </c>
    </row>
    <row r="17" spans="2:18">
      <c r="I17" t="s">
        <v>76</v>
      </c>
      <c r="P17" t="s">
        <v>70</v>
      </c>
    </row>
    <row r="18" spans="2:18">
      <c r="P18" t="s">
        <v>60</v>
      </c>
      <c r="Q18" s="51">
        <f>SQRT(((1/O2)*Q2)^2+((1/G1)*Q16)^2)</f>
        <v>3.3333333334583333E-2</v>
      </c>
    </row>
    <row r="19" spans="2:18">
      <c r="B19" s="16" t="s">
        <v>23</v>
      </c>
      <c r="H19" s="16"/>
      <c r="P19" t="s">
        <v>71</v>
      </c>
    </row>
    <row r="20" spans="2:18" ht="25.8">
      <c r="B20" s="26" t="s">
        <v>132</v>
      </c>
      <c r="H20" s="26"/>
      <c r="P20" s="43" t="s">
        <v>72</v>
      </c>
      <c r="Q20" s="53">
        <f>Q18*Q6</f>
        <v>6.0640351407695008E-3</v>
      </c>
      <c r="R20" s="52" t="s">
        <v>74</v>
      </c>
    </row>
    <row r="21" spans="2:18">
      <c r="P21" s="43" t="s">
        <v>73</v>
      </c>
      <c r="Q21" s="53">
        <f>(Q20/Q6)*Q7</f>
        <v>1.1437556949376387E+18</v>
      </c>
      <c r="R21" s="52" t="s">
        <v>75</v>
      </c>
    </row>
    <row r="22" spans="2:18">
      <c r="Q22" s="7" t="s">
        <v>65</v>
      </c>
    </row>
    <row r="24" spans="2:18">
      <c r="P24" s="58" t="s">
        <v>79</v>
      </c>
      <c r="Q24" s="59"/>
    </row>
    <row r="25" spans="2:18">
      <c r="P25" s="60" t="s">
        <v>90</v>
      </c>
      <c r="Q25" s="61"/>
    </row>
    <row r="26" spans="2:18">
      <c r="P26" s="62" t="s">
        <v>91</v>
      </c>
      <c r="Q26" s="63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C241-EC70-4E22-A4B7-37D5DB947689}">
  <dimension ref="A1:U28"/>
  <sheetViews>
    <sheetView workbookViewId="0">
      <selection activeCell="L17" sqref="L17:S20"/>
    </sheetView>
  </sheetViews>
  <sheetFormatPr defaultRowHeight="14.4"/>
  <cols>
    <col min="6" max="6" width="13.6640625" customWidth="1"/>
    <col min="9" max="9" width="11.33203125" customWidth="1"/>
    <col min="13" max="13" width="12.44140625" customWidth="1"/>
    <col min="17" max="17" width="12.77734375" customWidth="1"/>
  </cols>
  <sheetData>
    <row r="1" spans="1:12">
      <c r="A1" s="35" t="s">
        <v>37</v>
      </c>
      <c r="B1" s="36"/>
      <c r="C1" t="s">
        <v>33</v>
      </c>
    </row>
    <row r="2" spans="1:12" ht="32.4">
      <c r="A2" s="15" t="s">
        <v>20</v>
      </c>
      <c r="B2" s="8" t="s">
        <v>5</v>
      </c>
      <c r="C2" s="8" t="s">
        <v>32</v>
      </c>
      <c r="D2" t="s">
        <v>41</v>
      </c>
      <c r="E2" t="s">
        <v>94</v>
      </c>
      <c r="G2" s="38" t="s">
        <v>81</v>
      </c>
    </row>
    <row r="3" spans="1:12">
      <c r="A3" s="15" t="s">
        <v>22</v>
      </c>
      <c r="B3" s="8" t="s">
        <v>6</v>
      </c>
      <c r="C3" s="8" t="s">
        <v>13</v>
      </c>
      <c r="D3" t="s">
        <v>89</v>
      </c>
      <c r="E3" t="s">
        <v>86</v>
      </c>
    </row>
    <row r="4" spans="1:12">
      <c r="A4" s="8">
        <v>1</v>
      </c>
      <c r="B4" s="68">
        <v>0.1</v>
      </c>
      <c r="C4" s="69">
        <v>3.54</v>
      </c>
      <c r="D4">
        <f>B4^2</f>
        <v>1.0000000000000002E-2</v>
      </c>
      <c r="E4">
        <f>B4*C4</f>
        <v>0.35400000000000004</v>
      </c>
      <c r="G4" t="s">
        <v>105</v>
      </c>
      <c r="L4" t="s">
        <v>76</v>
      </c>
    </row>
    <row r="5" spans="1:12">
      <c r="A5" s="8">
        <v>2</v>
      </c>
      <c r="B5" s="68">
        <v>0.2</v>
      </c>
      <c r="C5" s="69">
        <v>7.08</v>
      </c>
      <c r="D5">
        <f t="shared" ref="D5:D13" si="0">B5^2</f>
        <v>4.0000000000000008E-2</v>
      </c>
      <c r="E5">
        <f t="shared" ref="E5:E13" si="1">B5*C5</f>
        <v>1.4160000000000001</v>
      </c>
      <c r="G5" s="46" t="s">
        <v>97</v>
      </c>
      <c r="H5" s="44">
        <v>0.8</v>
      </c>
      <c r="I5" s="7" t="s">
        <v>99</v>
      </c>
      <c r="J5" s="5">
        <v>2E-3</v>
      </c>
    </row>
    <row r="6" spans="1:12">
      <c r="A6" s="8">
        <v>3</v>
      </c>
      <c r="B6" s="68">
        <v>0.3</v>
      </c>
      <c r="C6" s="69">
        <v>10.51</v>
      </c>
      <c r="D6">
        <f t="shared" si="0"/>
        <v>0.09</v>
      </c>
      <c r="E6">
        <f t="shared" si="1"/>
        <v>3.153</v>
      </c>
      <c r="G6" s="46" t="s">
        <v>98</v>
      </c>
      <c r="H6" s="5">
        <f>H5/1000</f>
        <v>8.0000000000000004E-4</v>
      </c>
      <c r="I6" s="7" t="s">
        <v>100</v>
      </c>
      <c r="J6" s="5">
        <f>J5/1000</f>
        <v>1.9999999999999999E-6</v>
      </c>
    </row>
    <row r="7" spans="1:12">
      <c r="A7" s="8">
        <v>4</v>
      </c>
      <c r="B7" s="68">
        <v>0.4</v>
      </c>
      <c r="C7" s="69">
        <v>14.03</v>
      </c>
      <c r="D7">
        <f t="shared" si="0"/>
        <v>0.16000000000000003</v>
      </c>
      <c r="E7">
        <f t="shared" si="1"/>
        <v>5.6120000000000001</v>
      </c>
    </row>
    <row r="8" spans="1:12">
      <c r="A8" s="8">
        <v>5</v>
      </c>
      <c r="B8" s="68">
        <v>0.5</v>
      </c>
      <c r="C8" s="69">
        <v>17.54</v>
      </c>
      <c r="D8">
        <f t="shared" si="0"/>
        <v>0.25</v>
      </c>
      <c r="E8">
        <f t="shared" si="1"/>
        <v>8.77</v>
      </c>
      <c r="G8" s="46" t="s">
        <v>104</v>
      </c>
      <c r="H8" s="44">
        <v>0.6</v>
      </c>
      <c r="I8" s="7" t="s">
        <v>101</v>
      </c>
      <c r="J8" s="5">
        <v>2E-3</v>
      </c>
    </row>
    <row r="9" spans="1:12">
      <c r="A9" s="8">
        <v>6</v>
      </c>
      <c r="B9" s="68">
        <v>0.6</v>
      </c>
      <c r="C9" s="69">
        <v>21</v>
      </c>
      <c r="D9">
        <f t="shared" si="0"/>
        <v>0.36</v>
      </c>
      <c r="E9">
        <f t="shared" si="1"/>
        <v>12.6</v>
      </c>
      <c r="G9" s="46" t="s">
        <v>103</v>
      </c>
      <c r="H9" s="5">
        <f>H8/1000</f>
        <v>5.9999999999999995E-4</v>
      </c>
      <c r="I9" s="7" t="s">
        <v>102</v>
      </c>
      <c r="J9" s="5">
        <f>J8/1000</f>
        <v>1.9999999999999999E-6</v>
      </c>
    </row>
    <row r="10" spans="1:12">
      <c r="A10" s="8">
        <v>7</v>
      </c>
      <c r="B10" s="68">
        <v>0.7</v>
      </c>
      <c r="C10" s="69">
        <v>24.46</v>
      </c>
      <c r="D10">
        <f t="shared" si="0"/>
        <v>0.48999999999999994</v>
      </c>
      <c r="E10">
        <f t="shared" si="1"/>
        <v>17.122</v>
      </c>
    </row>
    <row r="11" spans="1:12">
      <c r="A11" s="8">
        <v>8</v>
      </c>
      <c r="B11" s="68">
        <v>0.8</v>
      </c>
      <c r="C11" s="69">
        <v>28.02</v>
      </c>
      <c r="D11">
        <f t="shared" si="0"/>
        <v>0.64000000000000012</v>
      </c>
      <c r="E11">
        <f t="shared" si="1"/>
        <v>22.416</v>
      </c>
      <c r="G11" s="46" t="s">
        <v>61</v>
      </c>
      <c r="H11" s="44">
        <v>0.12</v>
      </c>
      <c r="I11" s="7" t="s">
        <v>63</v>
      </c>
      <c r="J11" s="5">
        <v>4.0000000000000001E-3</v>
      </c>
    </row>
    <row r="12" spans="1:12">
      <c r="A12" s="8">
        <v>9</v>
      </c>
      <c r="B12" s="68">
        <v>0.9</v>
      </c>
      <c r="C12" s="69">
        <v>31.42</v>
      </c>
      <c r="D12">
        <f t="shared" si="0"/>
        <v>0.81</v>
      </c>
      <c r="E12">
        <f t="shared" si="1"/>
        <v>28.278000000000002</v>
      </c>
      <c r="G12" s="46" t="s">
        <v>95</v>
      </c>
      <c r="H12" s="5">
        <f>H11/1000</f>
        <v>1.1999999999999999E-4</v>
      </c>
      <c r="I12" s="7" t="s">
        <v>96</v>
      </c>
      <c r="J12" s="5">
        <f>J11/1000</f>
        <v>3.9999999999999998E-6</v>
      </c>
    </row>
    <row r="13" spans="1:12">
      <c r="A13" s="8">
        <v>10</v>
      </c>
      <c r="B13" s="68">
        <v>1</v>
      </c>
      <c r="C13" s="69">
        <v>34.869999999999997</v>
      </c>
      <c r="D13">
        <f t="shared" si="0"/>
        <v>1</v>
      </c>
      <c r="E13">
        <f t="shared" si="1"/>
        <v>34.869999999999997</v>
      </c>
    </row>
    <row r="15" spans="1:12">
      <c r="A15" t="s">
        <v>24</v>
      </c>
    </row>
    <row r="16" spans="1:12">
      <c r="A16" s="49" t="s">
        <v>57</v>
      </c>
      <c r="B16" s="33"/>
      <c r="C16" s="33"/>
      <c r="E16" s="49" t="s">
        <v>106</v>
      </c>
      <c r="F16" s="33"/>
      <c r="G16" s="33"/>
    </row>
    <row r="17" spans="1:21" ht="14.4" customHeight="1">
      <c r="A17" t="s">
        <v>39</v>
      </c>
      <c r="B17" s="39">
        <f>AVERAGE(B4:B13)</f>
        <v>0.55000000000000004</v>
      </c>
      <c r="E17" s="43" t="s">
        <v>107</v>
      </c>
      <c r="F17" s="53">
        <f>H6/(B22*H9*H12)</f>
        <v>319.03477479045205</v>
      </c>
      <c r="G17" s="52" t="s">
        <v>117</v>
      </c>
      <c r="L17" s="81" t="s">
        <v>139</v>
      </c>
      <c r="M17" s="81"/>
      <c r="N17" s="81"/>
      <c r="O17" s="81"/>
      <c r="P17" s="81"/>
      <c r="Q17" s="81"/>
      <c r="R17" s="81"/>
      <c r="S17" s="81"/>
      <c r="T17" s="80"/>
      <c r="U17" s="80"/>
    </row>
    <row r="18" spans="1:21" ht="14.4" customHeight="1">
      <c r="A18" t="s">
        <v>52</v>
      </c>
      <c r="B18">
        <f>AVERAGE(D4:D13)</f>
        <v>0.38500000000000001</v>
      </c>
      <c r="E18" s="43" t="s">
        <v>111</v>
      </c>
      <c r="F18" s="53">
        <f>J22*F17</f>
        <v>58.873727900947067</v>
      </c>
      <c r="G18" s="52" t="s">
        <v>118</v>
      </c>
      <c r="L18" s="81"/>
      <c r="M18" s="81"/>
      <c r="N18" s="81"/>
      <c r="O18" s="81"/>
      <c r="P18" s="81"/>
      <c r="Q18" s="81"/>
      <c r="R18" s="81"/>
      <c r="S18" s="81"/>
      <c r="T18" s="80"/>
      <c r="U18" s="80"/>
    </row>
    <row r="19" spans="1:21" ht="14.4" customHeight="1">
      <c r="A19" t="s">
        <v>51</v>
      </c>
      <c r="B19" s="42">
        <f>AVERAGE(C4:C13)</f>
        <v>19.247</v>
      </c>
      <c r="L19" s="81"/>
      <c r="M19" s="81"/>
      <c r="N19" s="81"/>
      <c r="O19" s="81"/>
      <c r="P19" s="81"/>
      <c r="Q19" s="81"/>
      <c r="R19" s="81"/>
      <c r="S19" s="81"/>
      <c r="T19" s="80"/>
      <c r="U19" s="80"/>
    </row>
    <row r="20" spans="1:21" ht="14.4" customHeight="1">
      <c r="A20" t="s">
        <v>50</v>
      </c>
      <c r="B20">
        <f>AVERAGE(E4:E13)</f>
        <v>13.459100000000001</v>
      </c>
      <c r="E20" s="49" t="s">
        <v>59</v>
      </c>
      <c r="F20" s="33"/>
      <c r="G20" s="33"/>
      <c r="L20" s="81"/>
      <c r="M20" s="81"/>
      <c r="N20" s="81"/>
      <c r="O20" s="81"/>
      <c r="P20" s="81"/>
      <c r="Q20" s="81"/>
      <c r="R20" s="81"/>
      <c r="S20" s="81"/>
      <c r="T20" s="80"/>
      <c r="U20" s="80"/>
    </row>
    <row r="21" spans="1:21">
      <c r="A21" t="s">
        <v>42</v>
      </c>
      <c r="E21" t="s">
        <v>112</v>
      </c>
      <c r="F21" s="51">
        <f>SQRT(((1/H12)*J12)^2+((1/H6)*J6)^2+((1/H9)*J9)^2)</f>
        <v>3.3592740617910621E-2</v>
      </c>
      <c r="I21" t="s">
        <v>110</v>
      </c>
    </row>
    <row r="22" spans="1:21">
      <c r="A22" s="43" t="s">
        <v>43</v>
      </c>
      <c r="B22" s="53">
        <f>(B20-B17*B19)/(B18-(B17)^2)</f>
        <v>34.827272727272749</v>
      </c>
      <c r="C22" s="52" t="s">
        <v>108</v>
      </c>
      <c r="E22" s="43" t="s">
        <v>113</v>
      </c>
      <c r="F22" s="53">
        <f>F21*F17</f>
        <v>10.717252437629186</v>
      </c>
      <c r="G22" s="52" t="s">
        <v>117</v>
      </c>
      <c r="I22" t="s">
        <v>109</v>
      </c>
      <c r="J22">
        <f>'VH-IS'!P8</f>
        <v>0.18453702402697769</v>
      </c>
      <c r="K22" t="s">
        <v>47</v>
      </c>
    </row>
    <row r="23" spans="1:21">
      <c r="A23" t="s">
        <v>44</v>
      </c>
      <c r="B23">
        <f>B19-B22*B17</f>
        <v>9.1999999999984539E-2</v>
      </c>
      <c r="C23" t="s">
        <v>13</v>
      </c>
      <c r="E23" t="s">
        <v>114</v>
      </c>
      <c r="F23" s="51">
        <f>SQRT((1/J22)^2*J23^2+(1/F17)^2*F22^2)</f>
        <v>4.7412199555248093E-2</v>
      </c>
      <c r="I23" t="s">
        <v>72</v>
      </c>
      <c r="J23">
        <f>'VH-IS'!P21</f>
        <v>6.1742581728053995E-3</v>
      </c>
      <c r="K23" t="s">
        <v>47</v>
      </c>
    </row>
    <row r="24" spans="1:21">
      <c r="A24" t="s">
        <v>54</v>
      </c>
      <c r="B24">
        <f>PEARSON(B4:B13,C4:C13)</f>
        <v>0.99999440563919129</v>
      </c>
      <c r="E24" s="43" t="s">
        <v>115</v>
      </c>
      <c r="F24" s="53">
        <f>F23*F18</f>
        <v>2.7913329358010799</v>
      </c>
      <c r="G24" s="52" t="s">
        <v>118</v>
      </c>
    </row>
    <row r="26" spans="1:21">
      <c r="A26" t="s">
        <v>93</v>
      </c>
      <c r="E26" s="58" t="s">
        <v>79</v>
      </c>
      <c r="F26" s="11"/>
      <c r="G26" s="59"/>
    </row>
    <row r="27" spans="1:21">
      <c r="E27" s="60" t="s">
        <v>131</v>
      </c>
      <c r="G27" s="61"/>
    </row>
    <row r="28" spans="1:21">
      <c r="E28" s="62" t="s">
        <v>116</v>
      </c>
      <c r="F28" s="64"/>
      <c r="G28" s="63"/>
    </row>
  </sheetData>
  <mergeCells count="1">
    <mergeCell ref="L17:S2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94A2-70FC-473B-BE8F-8F877D052C60}">
  <dimension ref="A1:S32"/>
  <sheetViews>
    <sheetView zoomScaleNormal="100" workbookViewId="0">
      <selection activeCell="M6" sqref="M6:O9"/>
    </sheetView>
  </sheetViews>
  <sheetFormatPr defaultRowHeight="14.4"/>
  <cols>
    <col min="1" max="1" width="8.88671875" customWidth="1"/>
    <col min="2" max="2" width="9.77734375" customWidth="1"/>
    <col min="3" max="3" width="6.44140625" customWidth="1"/>
    <col min="4" max="4" width="9.109375" customWidth="1"/>
    <col min="5" max="7" width="9.5546875" bestFit="1" customWidth="1"/>
    <col min="8" max="8" width="22" customWidth="1"/>
    <col min="9" max="9" width="7.77734375" customWidth="1"/>
    <col min="10" max="10" width="20.44140625" bestFit="1" customWidth="1"/>
    <col min="11" max="11" width="8.6640625" customWidth="1"/>
    <col min="15" max="15" width="15.109375" customWidth="1"/>
    <col min="17" max="17" width="8.88671875" customWidth="1"/>
  </cols>
  <sheetData>
    <row r="1" spans="1:19">
      <c r="A1" s="34" t="s">
        <v>38</v>
      </c>
      <c r="B1" s="34"/>
      <c r="F1" s="7" t="s">
        <v>119</v>
      </c>
      <c r="G1" s="44">
        <v>0.2</v>
      </c>
      <c r="M1" s="46" t="s">
        <v>61</v>
      </c>
      <c r="N1" s="44">
        <v>0.12</v>
      </c>
      <c r="O1" s="7" t="s">
        <v>63</v>
      </c>
      <c r="P1" s="5">
        <v>4.0000000000000001E-3</v>
      </c>
      <c r="R1" s="7" t="s">
        <v>120</v>
      </c>
      <c r="S1" s="44">
        <v>2</v>
      </c>
    </row>
    <row r="2" spans="1:19">
      <c r="A2" s="15" t="s">
        <v>20</v>
      </c>
      <c r="B2" s="15" t="s">
        <v>21</v>
      </c>
      <c r="C2" s="8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0" t="s">
        <v>19</v>
      </c>
      <c r="I2" s="10" t="s">
        <v>19</v>
      </c>
      <c r="J2" s="13" t="s">
        <v>11</v>
      </c>
      <c r="K2" s="65" t="s">
        <v>11</v>
      </c>
      <c r="M2" s="46" t="s">
        <v>95</v>
      </c>
      <c r="N2" s="5">
        <f>N1/1000</f>
        <v>1.1999999999999999E-4</v>
      </c>
      <c r="O2" s="7" t="s">
        <v>96</v>
      </c>
      <c r="P2" s="5">
        <f>P1/1000</f>
        <v>3.9999999999999998E-6</v>
      </c>
      <c r="R2" s="7" t="s">
        <v>122</v>
      </c>
      <c r="S2" s="5">
        <f>S1/1000</f>
        <v>2E-3</v>
      </c>
    </row>
    <row r="3" spans="1:19" ht="14.4" customHeight="1">
      <c r="A3" s="15" t="s">
        <v>22</v>
      </c>
      <c r="B3" s="15" t="s">
        <v>12</v>
      </c>
      <c r="C3" s="20" t="s">
        <v>12</v>
      </c>
      <c r="D3" s="14" t="s">
        <v>13</v>
      </c>
      <c r="E3" s="14" t="s">
        <v>13</v>
      </c>
      <c r="F3" s="14" t="s">
        <v>13</v>
      </c>
      <c r="G3" s="14" t="s">
        <v>13</v>
      </c>
      <c r="H3" s="14" t="s">
        <v>13</v>
      </c>
      <c r="I3" s="40" t="s">
        <v>87</v>
      </c>
      <c r="J3" s="25" t="s">
        <v>123</v>
      </c>
      <c r="K3" s="65" t="s">
        <v>124</v>
      </c>
    </row>
    <row r="4" spans="1:19" ht="28.8">
      <c r="A4" s="15"/>
      <c r="B4" s="10" t="s">
        <v>133</v>
      </c>
      <c r="C4" s="10"/>
      <c r="D4" s="6" t="s">
        <v>7</v>
      </c>
      <c r="E4" s="4" t="s">
        <v>8</v>
      </c>
      <c r="F4" s="4" t="s">
        <v>9</v>
      </c>
      <c r="G4" s="4" t="s">
        <v>10</v>
      </c>
      <c r="H4" s="22" t="s">
        <v>4</v>
      </c>
      <c r="I4" s="22"/>
      <c r="J4" s="22" t="s">
        <v>121</v>
      </c>
      <c r="K4" s="66"/>
      <c r="M4" s="77" t="s">
        <v>134</v>
      </c>
    </row>
    <row r="5" spans="1:19">
      <c r="A5" s="24" t="s">
        <v>3</v>
      </c>
      <c r="B5" s="23"/>
      <c r="C5" s="23"/>
      <c r="D5" s="18">
        <v>-1</v>
      </c>
      <c r="E5" s="19">
        <v>1</v>
      </c>
      <c r="F5" s="19">
        <v>-1</v>
      </c>
      <c r="G5" s="19">
        <v>1</v>
      </c>
      <c r="H5" s="21"/>
      <c r="I5" s="21"/>
      <c r="J5" s="12"/>
      <c r="K5" s="65"/>
    </row>
    <row r="6" spans="1:19" ht="14.4" customHeight="1">
      <c r="A6" s="8">
        <v>14</v>
      </c>
      <c r="B6" s="67">
        <v>454</v>
      </c>
      <c r="C6" s="47">
        <v>-44</v>
      </c>
      <c r="D6" s="69">
        <v>3.42</v>
      </c>
      <c r="E6" s="69">
        <v>4.8099999999999996</v>
      </c>
      <c r="F6" s="69">
        <v>4.8600000000000003</v>
      </c>
      <c r="G6" s="69">
        <v>4.84</v>
      </c>
      <c r="H6" s="73">
        <f t="shared" ref="H6:H32" si="0">ABS(D6*$D$5-E6*$E$5+F6*$F$5-G6*$G$5)/4</f>
        <v>4.4824999999999999</v>
      </c>
      <c r="I6" s="8">
        <f t="shared" ref="I6:I32" si="1">H6/1000</f>
        <v>4.4824999999999995E-3</v>
      </c>
      <c r="J6" s="8">
        <f t="shared" ref="J6:J32" si="2">(I6*$N$2)/($N$13*$S$2)</f>
        <v>1.457431111280313E-3</v>
      </c>
      <c r="K6" s="74">
        <f t="shared" ref="K6:K32" si="3">J6*1000</f>
        <v>1.4574311112803131</v>
      </c>
      <c r="M6" s="82" t="s">
        <v>138</v>
      </c>
      <c r="N6" s="82"/>
      <c r="O6" s="82"/>
    </row>
    <row r="7" spans="1:19" ht="14.4" customHeight="1">
      <c r="A7" s="8">
        <v>13</v>
      </c>
      <c r="B7" s="67">
        <v>460</v>
      </c>
      <c r="C7" s="47">
        <v>-38</v>
      </c>
      <c r="D7" s="69">
        <v>5.0999999999999996</v>
      </c>
      <c r="E7" s="69">
        <v>6.58</v>
      </c>
      <c r="F7" s="69">
        <v>6.73</v>
      </c>
      <c r="G7" s="69">
        <v>6.62</v>
      </c>
      <c r="H7" s="73">
        <f t="shared" si="0"/>
        <v>6.2575000000000003</v>
      </c>
      <c r="I7" s="8">
        <f t="shared" si="1"/>
        <v>6.2575E-3</v>
      </c>
      <c r="J7" s="8">
        <f t="shared" si="2"/>
        <v>2.0345510716869072E-3</v>
      </c>
      <c r="K7" s="74">
        <f t="shared" si="3"/>
        <v>2.0345510716869071</v>
      </c>
      <c r="M7" s="82"/>
      <c r="N7" s="82"/>
      <c r="O7" s="82"/>
    </row>
    <row r="8" spans="1:19" ht="14.4" customHeight="1">
      <c r="A8" s="8">
        <v>12</v>
      </c>
      <c r="B8" s="67">
        <v>463</v>
      </c>
      <c r="C8" s="47">
        <v>-35</v>
      </c>
      <c r="D8" s="69">
        <v>6.45</v>
      </c>
      <c r="E8" s="69">
        <v>8.01</v>
      </c>
      <c r="F8" s="69">
        <v>8.16</v>
      </c>
      <c r="G8" s="69">
        <v>8.11</v>
      </c>
      <c r="H8" s="73">
        <f t="shared" si="0"/>
        <v>7.6825000000000001</v>
      </c>
      <c r="I8" s="8">
        <f t="shared" si="1"/>
        <v>7.6825000000000001E-3</v>
      </c>
      <c r="J8" s="8">
        <f t="shared" si="2"/>
        <v>2.4978727300414959E-3</v>
      </c>
      <c r="K8" s="74">
        <f t="shared" si="3"/>
        <v>2.4978727300414958</v>
      </c>
      <c r="M8" s="82"/>
      <c r="N8" s="82"/>
      <c r="O8" s="82"/>
    </row>
    <row r="9" spans="1:19" ht="14.4" customHeight="1">
      <c r="A9" s="8">
        <v>11</v>
      </c>
      <c r="B9" s="67">
        <v>466</v>
      </c>
      <c r="C9" s="47">
        <v>-32</v>
      </c>
      <c r="D9" s="69">
        <v>8.7899999999999991</v>
      </c>
      <c r="E9" s="69">
        <v>10.16</v>
      </c>
      <c r="F9" s="69">
        <v>10.4</v>
      </c>
      <c r="G9" s="69">
        <v>10.31</v>
      </c>
      <c r="H9" s="73">
        <f t="shared" si="0"/>
        <v>9.9150000000000009</v>
      </c>
      <c r="I9" s="8">
        <f t="shared" si="1"/>
        <v>9.9150000000000002E-3</v>
      </c>
      <c r="J9" s="8">
        <f t="shared" si="2"/>
        <v>3.2237433281303526E-3</v>
      </c>
      <c r="K9" s="74">
        <f t="shared" si="3"/>
        <v>3.2237433281303525</v>
      </c>
      <c r="M9" s="82"/>
      <c r="N9" s="82"/>
      <c r="O9" s="82"/>
    </row>
    <row r="10" spans="1:19" ht="14.4" customHeight="1">
      <c r="A10" s="8">
        <v>10</v>
      </c>
      <c r="B10" s="67">
        <v>468</v>
      </c>
      <c r="C10" s="47">
        <v>-30</v>
      </c>
      <c r="D10" s="69">
        <v>10.94</v>
      </c>
      <c r="E10" s="69">
        <v>12.22</v>
      </c>
      <c r="F10" s="69">
        <v>12.41</v>
      </c>
      <c r="G10" s="69">
        <v>12.24</v>
      </c>
      <c r="H10" s="73">
        <f t="shared" si="0"/>
        <v>11.952500000000001</v>
      </c>
      <c r="I10" s="8">
        <f t="shared" si="1"/>
        <v>1.1952500000000001E-2</v>
      </c>
      <c r="J10" s="8">
        <f t="shared" si="2"/>
        <v>3.88621201507595E-3</v>
      </c>
      <c r="K10" s="74">
        <f t="shared" si="3"/>
        <v>3.8862120150759498</v>
      </c>
    </row>
    <row r="11" spans="1:19">
      <c r="A11" s="8">
        <v>9</v>
      </c>
      <c r="B11" s="67">
        <v>472</v>
      </c>
      <c r="C11" s="47">
        <v>-26</v>
      </c>
      <c r="D11" s="69">
        <v>18.3</v>
      </c>
      <c r="E11" s="69">
        <v>19.07</v>
      </c>
      <c r="F11" s="69">
        <v>19.72</v>
      </c>
      <c r="G11" s="69">
        <v>19.489999999999998</v>
      </c>
      <c r="H11" s="73">
        <f t="shared" si="0"/>
        <v>19.145</v>
      </c>
      <c r="I11" s="8">
        <f t="shared" si="1"/>
        <v>1.9144999999999999E-2</v>
      </c>
      <c r="J11" s="8">
        <f t="shared" si="2"/>
        <v>6.2247671222446397E-3</v>
      </c>
      <c r="K11" s="74">
        <f t="shared" si="3"/>
        <v>6.2247671222446401</v>
      </c>
    </row>
    <row r="12" spans="1:19">
      <c r="A12" s="8">
        <v>8</v>
      </c>
      <c r="B12" s="67">
        <v>475</v>
      </c>
      <c r="C12" s="47">
        <v>-23</v>
      </c>
      <c r="D12" s="69">
        <v>28.32</v>
      </c>
      <c r="E12" s="69">
        <v>30.07</v>
      </c>
      <c r="F12" s="69">
        <v>31.97</v>
      </c>
      <c r="G12" s="69">
        <v>30.42</v>
      </c>
      <c r="H12" s="73">
        <f t="shared" si="0"/>
        <v>30.195</v>
      </c>
      <c r="I12" s="8">
        <f t="shared" si="1"/>
        <v>3.0195E-2</v>
      </c>
      <c r="J12" s="8">
        <f t="shared" si="2"/>
        <v>9.8175420870293493E-3</v>
      </c>
      <c r="K12" s="74">
        <f t="shared" si="3"/>
        <v>9.8175420870293486</v>
      </c>
      <c r="M12" t="s">
        <v>110</v>
      </c>
    </row>
    <row r="13" spans="1:19">
      <c r="A13" s="8">
        <v>7</v>
      </c>
      <c r="B13" s="67">
        <v>477</v>
      </c>
      <c r="C13" s="47">
        <v>-21</v>
      </c>
      <c r="D13" s="69">
        <v>39.270000000000003</v>
      </c>
      <c r="E13" s="69">
        <v>40.369999999999997</v>
      </c>
      <c r="F13" s="69">
        <v>41.95</v>
      </c>
      <c r="G13" s="69">
        <v>40.6</v>
      </c>
      <c r="H13" s="73">
        <f t="shared" si="0"/>
        <v>40.547499999999999</v>
      </c>
      <c r="I13" s="8">
        <f t="shared" si="1"/>
        <v>4.05475E-2</v>
      </c>
      <c r="J13" s="8">
        <f t="shared" si="2"/>
        <v>1.3183533292724708E-2</v>
      </c>
      <c r="K13" s="74">
        <f t="shared" si="3"/>
        <v>13.183533292724707</v>
      </c>
      <c r="M13" t="s">
        <v>109</v>
      </c>
      <c r="N13">
        <f>'VH-IS'!P8</f>
        <v>0.18453702402697769</v>
      </c>
      <c r="O13" t="s">
        <v>47</v>
      </c>
    </row>
    <row r="14" spans="1:19">
      <c r="A14" s="8">
        <v>6</v>
      </c>
      <c r="B14" s="67">
        <v>478</v>
      </c>
      <c r="C14" s="47">
        <v>-20</v>
      </c>
      <c r="D14" s="69">
        <v>43.76</v>
      </c>
      <c r="E14" s="69">
        <v>45.62</v>
      </c>
      <c r="F14" s="69">
        <v>46.35</v>
      </c>
      <c r="G14" s="69">
        <v>45.71</v>
      </c>
      <c r="H14" s="73">
        <f t="shared" si="0"/>
        <v>45.36</v>
      </c>
      <c r="I14" s="8">
        <f t="shared" si="1"/>
        <v>4.5359999999999998E-2</v>
      </c>
      <c r="J14" s="8">
        <f t="shared" si="2"/>
        <v>1.4748259945939767E-2</v>
      </c>
      <c r="K14" s="74">
        <f t="shared" si="3"/>
        <v>14.748259945939767</v>
      </c>
      <c r="M14" t="s">
        <v>72</v>
      </c>
      <c r="N14">
        <f>'VH-IS'!P21</f>
        <v>6.1742581728053995E-3</v>
      </c>
      <c r="O14" t="s">
        <v>47</v>
      </c>
    </row>
    <row r="15" spans="1:19">
      <c r="A15" s="8">
        <v>5</v>
      </c>
      <c r="B15" s="67">
        <v>479</v>
      </c>
      <c r="C15" s="47">
        <v>-19</v>
      </c>
      <c r="D15" s="69">
        <v>47.66</v>
      </c>
      <c r="E15" s="69">
        <v>49.94</v>
      </c>
      <c r="F15" s="69">
        <v>49.94</v>
      </c>
      <c r="G15" s="69">
        <v>50.5</v>
      </c>
      <c r="H15" s="73">
        <f t="shared" si="0"/>
        <v>49.51</v>
      </c>
      <c r="I15" s="8">
        <f t="shared" si="1"/>
        <v>4.9509999999999998E-2</v>
      </c>
      <c r="J15" s="8">
        <f t="shared" si="2"/>
        <v>1.6097582670270675E-2</v>
      </c>
      <c r="K15" s="74">
        <f t="shared" si="3"/>
        <v>16.097582670270675</v>
      </c>
    </row>
    <row r="16" spans="1:19">
      <c r="A16" s="8">
        <v>4</v>
      </c>
      <c r="B16" s="67">
        <v>481</v>
      </c>
      <c r="C16" s="47">
        <v>-17</v>
      </c>
      <c r="D16" s="69">
        <v>52.99</v>
      </c>
      <c r="E16" s="69">
        <v>53.62</v>
      </c>
      <c r="F16" s="69">
        <v>54.15</v>
      </c>
      <c r="G16" s="69">
        <v>54.17</v>
      </c>
      <c r="H16" s="73">
        <f t="shared" si="0"/>
        <v>53.732500000000002</v>
      </c>
      <c r="I16" s="8">
        <f t="shared" si="1"/>
        <v>5.3732500000000002E-2</v>
      </c>
      <c r="J16" s="8">
        <f t="shared" si="2"/>
        <v>1.7470477900026645E-2</v>
      </c>
      <c r="K16" s="74">
        <f t="shared" si="3"/>
        <v>17.470477900026644</v>
      </c>
      <c r="M16" t="s">
        <v>76</v>
      </c>
    </row>
    <row r="17" spans="1:11">
      <c r="A17" s="8">
        <v>3</v>
      </c>
      <c r="B17" s="67">
        <v>485</v>
      </c>
      <c r="C17" s="47">
        <v>-13</v>
      </c>
      <c r="D17" s="69">
        <v>54.3</v>
      </c>
      <c r="E17" s="69">
        <v>55.12</v>
      </c>
      <c r="F17" s="69">
        <v>55.22</v>
      </c>
      <c r="G17" s="69">
        <v>55.28</v>
      </c>
      <c r="H17" s="73">
        <f t="shared" si="0"/>
        <v>54.98</v>
      </c>
      <c r="I17" s="8">
        <f t="shared" si="1"/>
        <v>5.4979999999999994E-2</v>
      </c>
      <c r="J17" s="8">
        <f t="shared" si="2"/>
        <v>1.7876087562340572E-2</v>
      </c>
      <c r="K17" s="74">
        <f t="shared" si="3"/>
        <v>17.876087562340572</v>
      </c>
    </row>
    <row r="18" spans="1:11">
      <c r="A18" s="8">
        <v>2</v>
      </c>
      <c r="B18" s="67">
        <v>487</v>
      </c>
      <c r="C18" s="47">
        <v>-11</v>
      </c>
      <c r="D18" s="69">
        <v>54.5</v>
      </c>
      <c r="E18" s="69">
        <v>55.24</v>
      </c>
      <c r="F18" s="69">
        <v>55.35</v>
      </c>
      <c r="G18" s="69">
        <v>55.4</v>
      </c>
      <c r="H18" s="73">
        <f t="shared" si="0"/>
        <v>55.122500000000002</v>
      </c>
      <c r="I18" s="8">
        <f t="shared" si="1"/>
        <v>5.5122500000000005E-2</v>
      </c>
      <c r="J18" s="8">
        <f t="shared" si="2"/>
        <v>1.7922419728176035E-2</v>
      </c>
      <c r="K18" s="74">
        <f t="shared" si="3"/>
        <v>17.922419728176035</v>
      </c>
    </row>
    <row r="19" spans="1:11">
      <c r="A19" s="8">
        <v>1</v>
      </c>
      <c r="B19" s="67">
        <v>498</v>
      </c>
      <c r="C19" s="47">
        <v>0</v>
      </c>
      <c r="D19" s="69">
        <v>54.55</v>
      </c>
      <c r="E19" s="69">
        <v>55.5</v>
      </c>
      <c r="F19" s="69">
        <v>55.63</v>
      </c>
      <c r="G19" s="69">
        <v>55.68</v>
      </c>
      <c r="H19" s="73">
        <f t="shared" si="0"/>
        <v>55.34</v>
      </c>
      <c r="I19" s="8">
        <f t="shared" si="1"/>
        <v>5.534E-2</v>
      </c>
      <c r="J19" s="8">
        <f t="shared" si="2"/>
        <v>1.7993137244451205E-2</v>
      </c>
      <c r="K19" s="74">
        <f t="shared" si="3"/>
        <v>17.993137244451205</v>
      </c>
    </row>
    <row r="20" spans="1:11">
      <c r="A20" s="8">
        <v>15</v>
      </c>
      <c r="B20" s="67">
        <v>509</v>
      </c>
      <c r="C20" s="47">
        <v>11</v>
      </c>
      <c r="D20" s="69">
        <v>54.82</v>
      </c>
      <c r="E20" s="69">
        <v>55.87</v>
      </c>
      <c r="F20" s="69">
        <v>55.92</v>
      </c>
      <c r="G20" s="69">
        <v>55.77</v>
      </c>
      <c r="H20" s="73">
        <f t="shared" si="0"/>
        <v>55.595000000000006</v>
      </c>
      <c r="I20" s="8">
        <f t="shared" si="1"/>
        <v>5.5595000000000006E-2</v>
      </c>
      <c r="J20" s="8">
        <f t="shared" si="2"/>
        <v>1.8076047435946242E-2</v>
      </c>
      <c r="K20" s="74">
        <f t="shared" si="3"/>
        <v>18.076047435946244</v>
      </c>
    </row>
    <row r="21" spans="1:11">
      <c r="A21" s="8">
        <v>16</v>
      </c>
      <c r="B21" s="67">
        <v>511</v>
      </c>
      <c r="C21" s="47">
        <v>13</v>
      </c>
      <c r="D21" s="69">
        <v>54.83</v>
      </c>
      <c r="E21" s="69">
        <v>55.79</v>
      </c>
      <c r="F21" s="69">
        <v>55.89</v>
      </c>
      <c r="G21" s="69">
        <v>55.75</v>
      </c>
      <c r="H21" s="73">
        <f t="shared" si="0"/>
        <v>55.564999999999998</v>
      </c>
      <c r="I21" s="8">
        <f t="shared" si="1"/>
        <v>5.5564999999999996E-2</v>
      </c>
      <c r="J21" s="8">
        <f t="shared" si="2"/>
        <v>1.8066293295770353E-2</v>
      </c>
      <c r="K21" s="74">
        <f t="shared" si="3"/>
        <v>18.066293295770354</v>
      </c>
    </row>
    <row r="22" spans="1:11">
      <c r="A22" s="8">
        <v>17</v>
      </c>
      <c r="B22" s="67">
        <v>515</v>
      </c>
      <c r="C22" s="47">
        <v>17</v>
      </c>
      <c r="D22" s="69">
        <v>53.29</v>
      </c>
      <c r="E22" s="69">
        <v>54.38</v>
      </c>
      <c r="F22" s="69">
        <v>54.43</v>
      </c>
      <c r="G22" s="69">
        <v>54.53</v>
      </c>
      <c r="H22" s="73">
        <f t="shared" si="0"/>
        <v>54.157499999999999</v>
      </c>
      <c r="I22" s="8">
        <f t="shared" si="1"/>
        <v>5.4157499999999997E-2</v>
      </c>
      <c r="J22" s="8">
        <f t="shared" si="2"/>
        <v>1.7608661552518362E-2</v>
      </c>
      <c r="K22" s="74">
        <f t="shared" si="3"/>
        <v>17.608661552518363</v>
      </c>
    </row>
    <row r="23" spans="1:11">
      <c r="A23" s="8">
        <v>18</v>
      </c>
      <c r="B23" s="67">
        <v>517</v>
      </c>
      <c r="C23" s="47">
        <v>19</v>
      </c>
      <c r="D23" s="69">
        <v>49.39</v>
      </c>
      <c r="E23" s="69">
        <v>50.66</v>
      </c>
      <c r="F23" s="69">
        <v>50.04</v>
      </c>
      <c r="G23" s="69">
        <v>50.05</v>
      </c>
      <c r="H23" s="73">
        <f t="shared" si="0"/>
        <v>50.034999999999997</v>
      </c>
      <c r="I23" s="8">
        <f t="shared" si="1"/>
        <v>5.0034999999999996E-2</v>
      </c>
      <c r="J23" s="8">
        <f t="shared" si="2"/>
        <v>1.6268280123348682E-2</v>
      </c>
      <c r="K23" s="74">
        <f t="shared" si="3"/>
        <v>16.268280123348681</v>
      </c>
    </row>
    <row r="24" spans="1:11">
      <c r="A24" s="8">
        <v>19</v>
      </c>
      <c r="B24" s="67">
        <v>518</v>
      </c>
      <c r="C24" s="47">
        <v>20</v>
      </c>
      <c r="D24" s="69">
        <v>45.2</v>
      </c>
      <c r="E24" s="69">
        <v>46.41</v>
      </c>
      <c r="F24" s="69">
        <v>45.54</v>
      </c>
      <c r="G24" s="69">
        <v>45.39</v>
      </c>
      <c r="H24" s="73">
        <f t="shared" si="0"/>
        <v>45.635000000000005</v>
      </c>
      <c r="I24" s="8">
        <f t="shared" si="1"/>
        <v>4.5635000000000002E-2</v>
      </c>
      <c r="J24" s="8">
        <f t="shared" si="2"/>
        <v>1.4837672897552057E-2</v>
      </c>
      <c r="K24" s="74">
        <f t="shared" si="3"/>
        <v>14.837672897552057</v>
      </c>
    </row>
    <row r="25" spans="1:11">
      <c r="A25" s="8">
        <v>20</v>
      </c>
      <c r="B25" s="67">
        <v>519</v>
      </c>
      <c r="C25" s="47">
        <v>21</v>
      </c>
      <c r="D25" s="69">
        <v>39.35</v>
      </c>
      <c r="E25" s="69">
        <v>41.54</v>
      </c>
      <c r="F25" s="69">
        <v>40.270000000000003</v>
      </c>
      <c r="G25" s="69">
        <v>50.86</v>
      </c>
      <c r="H25" s="73">
        <f t="shared" si="0"/>
        <v>43.004999999999995</v>
      </c>
      <c r="I25" s="8">
        <f t="shared" si="1"/>
        <v>4.3004999999999995E-2</v>
      </c>
      <c r="J25" s="8">
        <f t="shared" si="2"/>
        <v>1.3982559942132707E-2</v>
      </c>
      <c r="K25" s="74">
        <f t="shared" si="3"/>
        <v>13.982559942132708</v>
      </c>
    </row>
    <row r="26" spans="1:11">
      <c r="A26" s="8">
        <v>21</v>
      </c>
      <c r="B26" s="67">
        <v>521</v>
      </c>
      <c r="C26" s="47">
        <v>23</v>
      </c>
      <c r="D26" s="69">
        <v>28.82</v>
      </c>
      <c r="E26" s="69">
        <v>30.24</v>
      </c>
      <c r="F26" s="69">
        <v>28.74</v>
      </c>
      <c r="G26" s="69">
        <v>29.86</v>
      </c>
      <c r="H26" s="73">
        <f t="shared" si="0"/>
        <v>29.414999999999999</v>
      </c>
      <c r="I26" s="8">
        <f t="shared" si="1"/>
        <v>2.9415E-2</v>
      </c>
      <c r="J26" s="8">
        <f t="shared" si="2"/>
        <v>9.5639344424563108E-3</v>
      </c>
      <c r="K26" s="74">
        <f t="shared" si="3"/>
        <v>9.5639344424563113</v>
      </c>
    </row>
    <row r="27" spans="1:11">
      <c r="A27" s="8">
        <v>22</v>
      </c>
      <c r="B27" s="67">
        <v>524</v>
      </c>
      <c r="C27" s="47">
        <v>26</v>
      </c>
      <c r="D27" s="69">
        <v>17.62</v>
      </c>
      <c r="E27" s="69">
        <v>19.149999999999999</v>
      </c>
      <c r="F27" s="69">
        <v>18.7</v>
      </c>
      <c r="G27" s="69">
        <v>19.12</v>
      </c>
      <c r="H27" s="73">
        <f t="shared" si="0"/>
        <v>18.647500000000001</v>
      </c>
      <c r="I27" s="8">
        <f t="shared" si="1"/>
        <v>1.8647500000000001E-2</v>
      </c>
      <c r="J27" s="8">
        <f t="shared" si="2"/>
        <v>6.0630109643278621E-3</v>
      </c>
      <c r="K27" s="74">
        <f t="shared" si="3"/>
        <v>6.0630109643278622</v>
      </c>
    </row>
    <row r="28" spans="1:11">
      <c r="A28" s="8">
        <v>23</v>
      </c>
      <c r="B28" s="67">
        <v>528</v>
      </c>
      <c r="C28" s="47">
        <v>30</v>
      </c>
      <c r="D28" s="69">
        <v>10.69</v>
      </c>
      <c r="E28" s="69">
        <v>12.23</v>
      </c>
      <c r="F28" s="69">
        <v>11.98</v>
      </c>
      <c r="G28" s="69">
        <v>12.15</v>
      </c>
      <c r="H28" s="73">
        <f t="shared" si="0"/>
        <v>11.762500000000001</v>
      </c>
      <c r="I28" s="8">
        <f t="shared" si="1"/>
        <v>1.17625E-2</v>
      </c>
      <c r="J28" s="8">
        <f t="shared" si="2"/>
        <v>3.8244357939620048E-3</v>
      </c>
      <c r="K28" s="74">
        <f t="shared" si="3"/>
        <v>3.8244357939620048</v>
      </c>
    </row>
    <row r="29" spans="1:11">
      <c r="A29" s="8">
        <v>24</v>
      </c>
      <c r="B29" s="67">
        <v>530</v>
      </c>
      <c r="C29" s="47">
        <v>32</v>
      </c>
      <c r="D29" s="69">
        <v>8.52</v>
      </c>
      <c r="E29" s="69">
        <v>9.94</v>
      </c>
      <c r="F29" s="69">
        <v>9.84</v>
      </c>
      <c r="G29" s="69">
        <v>9.86</v>
      </c>
      <c r="H29" s="73">
        <f t="shared" si="0"/>
        <v>9.5399999999999991</v>
      </c>
      <c r="I29" s="8">
        <f t="shared" si="1"/>
        <v>9.5399999999999999E-3</v>
      </c>
      <c r="J29" s="8">
        <f t="shared" si="2"/>
        <v>3.1018165759317765E-3</v>
      </c>
      <c r="K29" s="74">
        <f t="shared" si="3"/>
        <v>3.1018165759317764</v>
      </c>
    </row>
    <row r="30" spans="1:11">
      <c r="A30" s="8">
        <v>25</v>
      </c>
      <c r="B30" s="67" t="s">
        <v>0</v>
      </c>
      <c r="C30" s="47">
        <v>34</v>
      </c>
      <c r="D30" s="69">
        <v>7.34</v>
      </c>
      <c r="E30" s="69">
        <v>8.8000000000000007</v>
      </c>
      <c r="F30" s="69">
        <v>8.82</v>
      </c>
      <c r="G30" s="69">
        <v>8.8000000000000007</v>
      </c>
      <c r="H30" s="73">
        <f t="shared" si="0"/>
        <v>8.4400000000000013</v>
      </c>
      <c r="I30" s="8">
        <f t="shared" si="1"/>
        <v>8.4400000000000013E-3</v>
      </c>
      <c r="J30" s="8">
        <f t="shared" si="2"/>
        <v>2.7441647694826203E-3</v>
      </c>
      <c r="K30" s="74">
        <f t="shared" si="3"/>
        <v>2.7441647694826203</v>
      </c>
    </row>
    <row r="31" spans="1:11">
      <c r="A31" s="8">
        <v>26</v>
      </c>
      <c r="B31" s="67" t="s">
        <v>1</v>
      </c>
      <c r="C31" s="47">
        <v>38</v>
      </c>
      <c r="D31" s="69">
        <v>5.68</v>
      </c>
      <c r="E31" s="69">
        <v>6.89</v>
      </c>
      <c r="F31" s="69">
        <v>5.79</v>
      </c>
      <c r="G31" s="69">
        <v>5.81</v>
      </c>
      <c r="H31" s="73">
        <f t="shared" si="0"/>
        <v>6.0424999999999995</v>
      </c>
      <c r="I31" s="8">
        <f t="shared" si="1"/>
        <v>6.0424999999999993E-3</v>
      </c>
      <c r="J31" s="8">
        <f t="shared" si="2"/>
        <v>1.9646464004263895E-3</v>
      </c>
      <c r="K31" s="74">
        <f t="shared" si="3"/>
        <v>1.9646464004263895</v>
      </c>
    </row>
    <row r="32" spans="1:11">
      <c r="A32" s="8">
        <v>27</v>
      </c>
      <c r="B32" s="67" t="s">
        <v>2</v>
      </c>
      <c r="C32" s="47">
        <v>44</v>
      </c>
      <c r="D32" s="69">
        <v>4.28</v>
      </c>
      <c r="E32" s="69">
        <v>4.93</v>
      </c>
      <c r="F32" s="69">
        <v>3.63</v>
      </c>
      <c r="G32" s="69">
        <v>3.65</v>
      </c>
      <c r="H32" s="73">
        <f t="shared" si="0"/>
        <v>4.1224999999999996</v>
      </c>
      <c r="I32" s="8">
        <f t="shared" si="1"/>
        <v>4.1224999999999994E-3</v>
      </c>
      <c r="J32" s="8">
        <f t="shared" si="2"/>
        <v>1.3403814291696801E-3</v>
      </c>
      <c r="K32" s="74">
        <f t="shared" si="3"/>
        <v>1.3403814291696801</v>
      </c>
    </row>
  </sheetData>
  <autoFilter ref="A5:K32" xr:uid="{28D794A2-70FC-473B-BE8F-8F877D052C60}">
    <sortState xmlns:xlrd2="http://schemas.microsoft.com/office/spreadsheetml/2017/richdata2" ref="A6:K32">
      <sortCondition ref="C5:C32"/>
    </sortState>
  </autoFilter>
  <mergeCells count="1">
    <mergeCell ref="M6:O9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B87A-A210-4705-BD11-D75F8E1EEAF7}">
  <dimension ref="A2:S3"/>
  <sheetViews>
    <sheetView workbookViewId="0">
      <selection activeCell="G11" sqref="G11"/>
    </sheetView>
  </sheetViews>
  <sheetFormatPr defaultRowHeight="14.4"/>
  <sheetData>
    <row r="2" spans="1:19" ht="22.2">
      <c r="A2" s="79" t="s">
        <v>140</v>
      </c>
      <c r="J2" s="84" t="s">
        <v>137</v>
      </c>
      <c r="K2" s="84"/>
      <c r="L2" s="84"/>
      <c r="M2" s="84"/>
      <c r="N2" s="84"/>
      <c r="O2" s="84"/>
      <c r="P2" s="84"/>
    </row>
    <row r="3" spans="1:19" ht="21">
      <c r="A3" s="78" t="s">
        <v>135</v>
      </c>
      <c r="B3" s="83" t="s">
        <v>136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</row>
  </sheetData>
  <mergeCells count="2">
    <mergeCell ref="B3:S3"/>
    <mergeCell ref="J2:P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VH-IS</vt:lpstr>
      <vt:lpstr>VH-IM</vt:lpstr>
      <vt:lpstr>Vσ-IS</vt:lpstr>
      <vt:lpstr>B在X轴分布</vt:lpstr>
      <vt:lpstr>图合集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2025-03-31T06:51:14Z</dcterms:created>
  <dcterms:modified xsi:type="dcterms:W3CDTF">2025-05-06T14:01:09Z</dcterms:modified>
</cp:coreProperties>
</file>