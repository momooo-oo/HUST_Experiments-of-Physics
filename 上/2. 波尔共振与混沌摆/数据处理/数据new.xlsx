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2. 波尔共振与混沌摆\"/>
    </mc:Choice>
  </mc:AlternateContent>
  <xr:revisionPtr revIDLastSave="0" documentId="13_ncr:1_{5225AA68-D39F-4917-9F41-3C371CA7BD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  <c r="E4" i="1"/>
  <c r="E5" i="1"/>
  <c r="E2" i="1"/>
</calcChain>
</file>

<file path=xl/sharedStrings.xml><?xml version="1.0" encoding="utf-8"?>
<sst xmlns="http://schemas.openxmlformats.org/spreadsheetml/2006/main" count="6" uniqueCount="6">
  <si>
    <t>次数</t>
    <phoneticPr fontId="1" type="noConversion"/>
  </si>
  <si>
    <t>电机驱动频率</t>
    <phoneticPr fontId="1" type="noConversion"/>
  </si>
  <si>
    <t>摆轮周期T</t>
    <phoneticPr fontId="1" type="noConversion"/>
  </si>
  <si>
    <t>摆轮频率f</t>
    <phoneticPr fontId="1" type="noConversion"/>
  </si>
  <si>
    <t>振幅θ</t>
    <phoneticPr fontId="1" type="noConversion"/>
  </si>
  <si>
    <r>
      <t>相位差</t>
    </r>
    <r>
      <rPr>
        <i/>
        <sz val="11"/>
        <color theme="1"/>
        <rFont val="等线"/>
        <family val="3"/>
        <charset val="134"/>
        <scheme val="minor"/>
      </rPr>
      <t>φ</t>
    </r>
    <r>
      <rPr>
        <sz val="11"/>
        <color theme="1"/>
        <rFont val="等线"/>
        <family val="2"/>
        <scheme val="minor"/>
      </rPr>
      <t>(°)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</si>
</sst>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82" fontId="0" fillId="2" borderId="0" xfId="0" applyNumberFormat="1" applyFill="1"/>
    <xf numFmtId="182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相频特性曲线         </a:t>
            </a:r>
            <a:r>
              <a:rPr lang="zh-CN" altLang="en-US" sz="1200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阻尼电流</a:t>
            </a:r>
            <a:r>
              <a:rPr lang="en-US" altLang="zh-CN" sz="1200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600mA</a:t>
            </a:r>
            <a:endParaRPr lang="el-GR" altLang="zh-CN"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6628386336866903"/>
          <c:y val="2.8520499108734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882159589864348E-2"/>
          <c:y val="0.159571294169499"/>
          <c:w val="0.85053229327642454"/>
          <c:h val="0.820721064334127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相位差φ(°)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Sheet1!$E$2:$E$39</c:f>
              <c:numCache>
                <c:formatCode>0.000</c:formatCode>
                <c:ptCount val="38"/>
                <c:pt idx="0">
                  <c:v>0.53361792956243326</c:v>
                </c:pt>
                <c:pt idx="1">
                  <c:v>0.56497175141242939</c:v>
                </c:pt>
                <c:pt idx="2">
                  <c:v>0.59594755661501786</c:v>
                </c:pt>
                <c:pt idx="3">
                  <c:v>0.61236987140232702</c:v>
                </c:pt>
                <c:pt idx="4">
                  <c:v>0.61881188118811881</c:v>
                </c:pt>
                <c:pt idx="5">
                  <c:v>0.62383031815346224</c:v>
                </c:pt>
                <c:pt idx="6">
                  <c:v>0.62578222778473092</c:v>
                </c:pt>
                <c:pt idx="7">
                  <c:v>0.62735257214554574</c:v>
                </c:pt>
                <c:pt idx="8">
                  <c:v>0.62893081761006286</c:v>
                </c:pt>
                <c:pt idx="9">
                  <c:v>0.63011972274732198</c:v>
                </c:pt>
                <c:pt idx="10">
                  <c:v>0.63131313131313127</c:v>
                </c:pt>
                <c:pt idx="11">
                  <c:v>0.63211125158027814</c:v>
                </c:pt>
                <c:pt idx="12">
                  <c:v>0.63211125158027814</c:v>
                </c:pt>
                <c:pt idx="13">
                  <c:v>0.63251106894370657</c:v>
                </c:pt>
                <c:pt idx="14">
                  <c:v>0.63291139240506322</c:v>
                </c:pt>
                <c:pt idx="15">
                  <c:v>0.6333122229259025</c:v>
                </c:pt>
                <c:pt idx="16">
                  <c:v>0.6333122229259025</c:v>
                </c:pt>
                <c:pt idx="17">
                  <c:v>0.6337135614702154</c:v>
                </c:pt>
                <c:pt idx="18">
                  <c:v>0.63411540900443886</c:v>
                </c:pt>
                <c:pt idx="19">
                  <c:v>0.63451776649746194</c:v>
                </c:pt>
                <c:pt idx="20">
                  <c:v>0.63451776649746194</c:v>
                </c:pt>
                <c:pt idx="21">
                  <c:v>0.63492063492063489</c:v>
                </c:pt>
                <c:pt idx="22">
                  <c:v>0.63532401524777637</c:v>
                </c:pt>
                <c:pt idx="23">
                  <c:v>0.63572790845518123</c:v>
                </c:pt>
                <c:pt idx="24">
                  <c:v>0.63613231552162852</c:v>
                </c:pt>
                <c:pt idx="25">
                  <c:v>0.63613231552162852</c:v>
                </c:pt>
                <c:pt idx="26">
                  <c:v>0.63653723742838964</c:v>
                </c:pt>
                <c:pt idx="27">
                  <c:v>0.63734862970044615</c:v>
                </c:pt>
                <c:pt idx="28">
                  <c:v>0.63897763578274758</c:v>
                </c:pt>
                <c:pt idx="29">
                  <c:v>0.64061499039077519</c:v>
                </c:pt>
                <c:pt idx="30">
                  <c:v>0.64226075786769432</c:v>
                </c:pt>
                <c:pt idx="31">
                  <c:v>0.64350064350064351</c:v>
                </c:pt>
                <c:pt idx="32">
                  <c:v>0.64516129032258063</c:v>
                </c:pt>
                <c:pt idx="33">
                  <c:v>0.65019505851755521</c:v>
                </c:pt>
                <c:pt idx="34">
                  <c:v>0.65616797900262469</c:v>
                </c:pt>
                <c:pt idx="35">
                  <c:v>0.66577896138482029</c:v>
                </c:pt>
                <c:pt idx="36">
                  <c:v>0.69686411149825778</c:v>
                </c:pt>
                <c:pt idx="37">
                  <c:v>0.75930144267274113</c:v>
                </c:pt>
              </c:numCache>
            </c:numRef>
          </c:xVal>
          <c:yVal>
            <c:numRef>
              <c:f>Sheet1!$G$2:$G$39</c:f>
              <c:numCache>
                <c:formatCode>General</c:formatCode>
                <c:ptCount val="38"/>
                <c:pt idx="0">
                  <c:v>-10</c:v>
                </c:pt>
                <c:pt idx="1">
                  <c:v>-12</c:v>
                </c:pt>
                <c:pt idx="2">
                  <c:v>-17</c:v>
                </c:pt>
                <c:pt idx="3">
                  <c:v>-31.5</c:v>
                </c:pt>
                <c:pt idx="4">
                  <c:v>-41.5</c:v>
                </c:pt>
                <c:pt idx="5">
                  <c:v>-51.5</c:v>
                </c:pt>
                <c:pt idx="6">
                  <c:v>-56</c:v>
                </c:pt>
                <c:pt idx="7">
                  <c:v>-61.5</c:v>
                </c:pt>
                <c:pt idx="8">
                  <c:v>-67</c:v>
                </c:pt>
                <c:pt idx="9">
                  <c:v>-70.5</c:v>
                </c:pt>
                <c:pt idx="10">
                  <c:v>-77.5</c:v>
                </c:pt>
                <c:pt idx="11">
                  <c:v>-80</c:v>
                </c:pt>
                <c:pt idx="12">
                  <c:v>-80.5</c:v>
                </c:pt>
                <c:pt idx="13">
                  <c:v>-82.5</c:v>
                </c:pt>
                <c:pt idx="14">
                  <c:v>-85</c:v>
                </c:pt>
                <c:pt idx="15">
                  <c:v>-85.5</c:v>
                </c:pt>
                <c:pt idx="16">
                  <c:v>-86.5</c:v>
                </c:pt>
                <c:pt idx="17">
                  <c:v>-88</c:v>
                </c:pt>
                <c:pt idx="18">
                  <c:v>-89.5</c:v>
                </c:pt>
                <c:pt idx="19">
                  <c:v>-91.5</c:v>
                </c:pt>
                <c:pt idx="20">
                  <c:v>-93</c:v>
                </c:pt>
                <c:pt idx="21">
                  <c:v>-95</c:v>
                </c:pt>
                <c:pt idx="22">
                  <c:v>-96</c:v>
                </c:pt>
                <c:pt idx="23">
                  <c:v>-97.5</c:v>
                </c:pt>
                <c:pt idx="24">
                  <c:v>-99.5</c:v>
                </c:pt>
                <c:pt idx="25">
                  <c:v>-101</c:v>
                </c:pt>
                <c:pt idx="26">
                  <c:v>-102.5</c:v>
                </c:pt>
                <c:pt idx="27">
                  <c:v>-106.5</c:v>
                </c:pt>
                <c:pt idx="28">
                  <c:v>-114</c:v>
                </c:pt>
                <c:pt idx="29">
                  <c:v>-121.5</c:v>
                </c:pt>
                <c:pt idx="30">
                  <c:v>-127.5</c:v>
                </c:pt>
                <c:pt idx="31">
                  <c:v>-132</c:v>
                </c:pt>
                <c:pt idx="32">
                  <c:v>-136.5</c:v>
                </c:pt>
                <c:pt idx="33">
                  <c:v>-146.5</c:v>
                </c:pt>
                <c:pt idx="34">
                  <c:v>-154</c:v>
                </c:pt>
                <c:pt idx="35">
                  <c:v>-162</c:v>
                </c:pt>
                <c:pt idx="36">
                  <c:v>-168</c:v>
                </c:pt>
                <c:pt idx="37">
                  <c:v>-173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5-4866-BC42-EA5F4CD6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964143"/>
        <c:axId val="1919680943"/>
      </c:scatterChart>
      <c:valAx>
        <c:axId val="1719964143"/>
        <c:scaling>
          <c:orientation val="minMax"/>
          <c:max val="0.79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27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680943"/>
        <c:crossesAt val="-90"/>
        <c:crossBetween val="midCat"/>
      </c:valAx>
      <c:valAx>
        <c:axId val="191968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9964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33922261484097"/>
          <c:y val="0.10825984744031028"/>
          <c:w val="0.21088056351613294"/>
          <c:h val="5.54242392817542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振幅</a:t>
            </a:r>
            <a:r>
              <a:rPr lang="el-GR" altLang="zh-CN"/>
              <a:t>θ(°)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振幅θ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Sheet1!$E$2:$E$39</c:f>
              <c:numCache>
                <c:formatCode>0.000</c:formatCode>
                <c:ptCount val="38"/>
                <c:pt idx="0">
                  <c:v>0.53361792956243326</c:v>
                </c:pt>
                <c:pt idx="1">
                  <c:v>0.56497175141242939</c:v>
                </c:pt>
                <c:pt idx="2">
                  <c:v>0.59594755661501786</c:v>
                </c:pt>
                <c:pt idx="3">
                  <c:v>0.61236987140232702</c:v>
                </c:pt>
                <c:pt idx="4">
                  <c:v>0.61881188118811881</c:v>
                </c:pt>
                <c:pt idx="5">
                  <c:v>0.62383031815346224</c:v>
                </c:pt>
                <c:pt idx="6">
                  <c:v>0.62578222778473092</c:v>
                </c:pt>
                <c:pt idx="7">
                  <c:v>0.62735257214554574</c:v>
                </c:pt>
                <c:pt idx="8">
                  <c:v>0.62893081761006286</c:v>
                </c:pt>
                <c:pt idx="9">
                  <c:v>0.63011972274732198</c:v>
                </c:pt>
                <c:pt idx="10">
                  <c:v>0.63131313131313127</c:v>
                </c:pt>
                <c:pt idx="11">
                  <c:v>0.63211125158027814</c:v>
                </c:pt>
                <c:pt idx="12">
                  <c:v>0.63211125158027814</c:v>
                </c:pt>
                <c:pt idx="13">
                  <c:v>0.63251106894370657</c:v>
                </c:pt>
                <c:pt idx="14">
                  <c:v>0.63291139240506322</c:v>
                </c:pt>
                <c:pt idx="15">
                  <c:v>0.6333122229259025</c:v>
                </c:pt>
                <c:pt idx="16">
                  <c:v>0.6333122229259025</c:v>
                </c:pt>
                <c:pt idx="17">
                  <c:v>0.6337135614702154</c:v>
                </c:pt>
                <c:pt idx="18">
                  <c:v>0.63411540900443886</c:v>
                </c:pt>
                <c:pt idx="19">
                  <c:v>0.63451776649746194</c:v>
                </c:pt>
                <c:pt idx="20">
                  <c:v>0.63451776649746194</c:v>
                </c:pt>
                <c:pt idx="21">
                  <c:v>0.63492063492063489</c:v>
                </c:pt>
                <c:pt idx="22">
                  <c:v>0.63532401524777637</c:v>
                </c:pt>
                <c:pt idx="23">
                  <c:v>0.63572790845518123</c:v>
                </c:pt>
                <c:pt idx="24">
                  <c:v>0.63613231552162852</c:v>
                </c:pt>
                <c:pt idx="25">
                  <c:v>0.63613231552162852</c:v>
                </c:pt>
                <c:pt idx="26">
                  <c:v>0.63653723742838964</c:v>
                </c:pt>
                <c:pt idx="27">
                  <c:v>0.63734862970044615</c:v>
                </c:pt>
                <c:pt idx="28">
                  <c:v>0.63897763578274758</c:v>
                </c:pt>
                <c:pt idx="29">
                  <c:v>0.64061499039077519</c:v>
                </c:pt>
                <c:pt idx="30">
                  <c:v>0.64226075786769432</c:v>
                </c:pt>
                <c:pt idx="31">
                  <c:v>0.64350064350064351</c:v>
                </c:pt>
                <c:pt idx="32">
                  <c:v>0.64516129032258063</c:v>
                </c:pt>
                <c:pt idx="33">
                  <c:v>0.65019505851755521</c:v>
                </c:pt>
                <c:pt idx="34">
                  <c:v>0.65616797900262469</c:v>
                </c:pt>
                <c:pt idx="35">
                  <c:v>0.66577896138482029</c:v>
                </c:pt>
                <c:pt idx="36">
                  <c:v>0.69686411149825778</c:v>
                </c:pt>
                <c:pt idx="37">
                  <c:v>0.75930144267274113</c:v>
                </c:pt>
              </c:numCache>
            </c:numRef>
          </c:xVal>
          <c:yVal>
            <c:numRef>
              <c:f>Sheet1!$F$2:$F$39</c:f>
              <c:numCache>
                <c:formatCode>General</c:formatCode>
                <c:ptCount val="38"/>
                <c:pt idx="0">
                  <c:v>16.399999999999999</c:v>
                </c:pt>
                <c:pt idx="1">
                  <c:v>23.5</c:v>
                </c:pt>
                <c:pt idx="2">
                  <c:v>41.3</c:v>
                </c:pt>
                <c:pt idx="3">
                  <c:v>67.099999999999994</c:v>
                </c:pt>
                <c:pt idx="4">
                  <c:v>82.6</c:v>
                </c:pt>
                <c:pt idx="5">
                  <c:v>101.2</c:v>
                </c:pt>
                <c:pt idx="6">
                  <c:v>108.2</c:v>
                </c:pt>
                <c:pt idx="7">
                  <c:v>114</c:v>
                </c:pt>
                <c:pt idx="8">
                  <c:v>119</c:v>
                </c:pt>
                <c:pt idx="9">
                  <c:v>125.3</c:v>
                </c:pt>
                <c:pt idx="10">
                  <c:v>124.9</c:v>
                </c:pt>
                <c:pt idx="11">
                  <c:v>127.4</c:v>
                </c:pt>
                <c:pt idx="12">
                  <c:v>127.5</c:v>
                </c:pt>
                <c:pt idx="13">
                  <c:v>128.19999999999999</c:v>
                </c:pt>
                <c:pt idx="14">
                  <c:v>127.5</c:v>
                </c:pt>
                <c:pt idx="15">
                  <c:v>128.6</c:v>
                </c:pt>
                <c:pt idx="16">
                  <c:v>127.7</c:v>
                </c:pt>
                <c:pt idx="17">
                  <c:v>128.19999999999999</c:v>
                </c:pt>
                <c:pt idx="18">
                  <c:v>128.5</c:v>
                </c:pt>
                <c:pt idx="19">
                  <c:v>128.6</c:v>
                </c:pt>
                <c:pt idx="20">
                  <c:v>128.6</c:v>
                </c:pt>
                <c:pt idx="21">
                  <c:v>128.30000000000001</c:v>
                </c:pt>
                <c:pt idx="22">
                  <c:v>128.4</c:v>
                </c:pt>
                <c:pt idx="23">
                  <c:v>127.9</c:v>
                </c:pt>
                <c:pt idx="24">
                  <c:v>127.5</c:v>
                </c:pt>
                <c:pt idx="25">
                  <c:v>127.1</c:v>
                </c:pt>
                <c:pt idx="26">
                  <c:v>126.7</c:v>
                </c:pt>
                <c:pt idx="27">
                  <c:v>124.7</c:v>
                </c:pt>
                <c:pt idx="28">
                  <c:v>119.3</c:v>
                </c:pt>
                <c:pt idx="29">
                  <c:v>112.4</c:v>
                </c:pt>
                <c:pt idx="30">
                  <c:v>105.2</c:v>
                </c:pt>
                <c:pt idx="31">
                  <c:v>97.4</c:v>
                </c:pt>
                <c:pt idx="32">
                  <c:v>86.3</c:v>
                </c:pt>
                <c:pt idx="33">
                  <c:v>69.400000000000006</c:v>
                </c:pt>
                <c:pt idx="34">
                  <c:v>53.7</c:v>
                </c:pt>
                <c:pt idx="35">
                  <c:v>40.4</c:v>
                </c:pt>
                <c:pt idx="36">
                  <c:v>20.6</c:v>
                </c:pt>
                <c:pt idx="37">
                  <c:v>10.199999999999999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E8-4401-B038-0F20AE48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20463"/>
        <c:axId val="2131421903"/>
      </c:scatterChart>
      <c:valAx>
        <c:axId val="2131420463"/>
        <c:scaling>
          <c:orientation val="minMax"/>
          <c:max val="0.79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21903"/>
        <c:crosses val="autoZero"/>
        <c:crossBetween val="midCat"/>
      </c:valAx>
      <c:valAx>
        <c:axId val="21314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3142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501652</xdr:colOff>
      <xdr:row>1</xdr:row>
      <xdr:rowOff>140722</xdr:rowOff>
    </xdr:from>
    <xdr:to>
      <xdr:col>14</xdr:col>
      <xdr:colOff>547372</xdr:colOff>
      <xdr:row>22</xdr:row>
      <xdr:rowOff>10958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DCD3600-9D16-AE60-18F4-B0D4CDC12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477371</xdr:colOff>
      <xdr:row>16</xdr:row>
      <xdr:rowOff>23084</xdr:rowOff>
    </xdr:from>
    <xdr:to>
      <xdr:col>17</xdr:col>
      <xdr:colOff>332591</xdr:colOff>
      <xdr:row>31</xdr:row>
      <xdr:rowOff>137608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677256-0366-C525-A0D3-4CCD9168B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0.61461</cdr:x>
      <cdr:y>0.18696</cdr:y>
    </cdr:from>
    <cdr:to>
      <cdr:x>0.91688</cdr:x>
      <cdr:y>0.36878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F9293737-F9E5-B9D0-CE25-39962CCB7D00}"/>
            </a:ext>
          </a:extLst>
        </cdr:cNvPr>
        <cdr:cNvSpPr txBox="1"/>
      </cdr:nvSpPr>
      <cdr:spPr>
        <a:xfrm xmlns:a="http://schemas.openxmlformats.org/drawingml/2006/main">
          <a:off x="1859280" y="415290"/>
          <a:ext cx="914400" cy="403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100" kern="1200"/>
            <a:t>共振频率</a:t>
          </a:r>
          <a:r>
            <a:rPr lang="en-US" altLang="zh-CN" sz="1100" kern="1200"/>
            <a:t>fr=...Hz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0.7539</cdr:x>
      <cdr:y>0.45237</cdr:y>
    </cdr:from>
    <cdr:to>
      <cdr:x>1</cdr:x>
      <cdr:y>0.54448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4F506812-D17A-6E05-7779-2B06CB24DEAC}"/>
            </a:ext>
          </a:extLst>
        </cdr:cNvPr>
        <cdr:cNvSpPr txBox="1"/>
      </cdr:nvSpPr>
      <cdr:spPr>
        <a:xfrm xmlns:a="http://schemas.openxmlformats.org/drawingml/2006/main">
          <a:off x="3251529" y="1596170"/>
          <a:ext cx="1061391" cy="3249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zh-CN" altLang="en-US" sz="1100" kern="1200"/>
            <a:t>摆轮频率</a:t>
          </a:r>
          <a:r>
            <a:rPr lang="en-US" altLang="zh-CN" sz="1100" kern="1200"/>
            <a:t>f(Hz)</a:t>
          </a:r>
          <a:endParaRPr lang="zh-CN" altLang="en-US" sz="1100" kern="1200"/>
        </a:p>
      </cdr:txBody>
    </cdr:sp>
  </cdr:relSizeAnchor>
  <cdr:relSizeAnchor xmlns:cdr="http://schemas.openxmlformats.org/drawingml/2006/chartDrawing">
    <cdr:from>
      <cdr:x>0.00353</cdr:x>
      <cdr:y>0.0629</cdr:y>
    </cdr:from>
    <cdr:to>
      <cdr:x>0.28817</cdr:x>
      <cdr:y>0.18983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5A20525F-E68A-C368-832C-BD0DF7633B9F}"/>
            </a:ext>
          </a:extLst>
        </cdr:cNvPr>
        <cdr:cNvSpPr txBox="1"/>
      </cdr:nvSpPr>
      <cdr:spPr>
        <a:xfrm xmlns:a="http://schemas.openxmlformats.org/drawingml/2006/main">
          <a:off x="15240" y="224071"/>
          <a:ext cx="1227607" cy="4521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相位差</a:t>
          </a:r>
          <a:r>
            <a:rPr lang="el-GR" altLang="zh-CN" sz="11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φ</a:t>
          </a:r>
          <a:r>
            <a:rPr lang="en-US" altLang="zh-CN" sz="11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(°)</a:t>
          </a:r>
          <a:endParaRPr lang="zh-CN" altLang="zh-CN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85" zoomScaleNormal="85" workbookViewId="0">
      <selection activeCell="R8" sqref="R8"/>
    </sheetView>
  </sheetViews>
  <sheetFormatPr defaultRowHeight="13.8" x14ac:dyDescent="0.25"/>
  <cols>
    <col min="1" max="1" width="4.33203125" customWidth="1"/>
    <col min="2" max="2" width="7.77734375" bestFit="1" customWidth="1"/>
    <col min="3" max="3" width="16.109375" bestFit="1" customWidth="1"/>
    <col min="4" max="4" width="13.5546875" customWidth="1"/>
    <col min="5" max="5" width="13.77734375" customWidth="1"/>
    <col min="6" max="6" width="8.88671875" bestFit="1" customWidth="1"/>
    <col min="7" max="7" width="11.10937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s="1">
        <v>38</v>
      </c>
      <c r="C2" s="1">
        <v>1708</v>
      </c>
      <c r="D2" s="1">
        <v>1.8740000000000001</v>
      </c>
      <c r="E2" s="2">
        <f>1/D2</f>
        <v>0.53361792956243326</v>
      </c>
      <c r="F2" s="1">
        <v>16.399999999999999</v>
      </c>
      <c r="G2" s="1">
        <v>-10</v>
      </c>
    </row>
    <row r="3" spans="1:7" x14ac:dyDescent="0.25">
      <c r="A3">
        <v>2</v>
      </c>
      <c r="B3" s="1">
        <v>36</v>
      </c>
      <c r="C3" s="1">
        <v>1808</v>
      </c>
      <c r="D3" s="1">
        <v>1.77</v>
      </c>
      <c r="E3" s="2">
        <f t="shared" ref="E3:E39" si="0">1/D3</f>
        <v>0.56497175141242939</v>
      </c>
      <c r="F3" s="1">
        <v>23.5</v>
      </c>
      <c r="G3" s="1">
        <v>-12</v>
      </c>
    </row>
    <row r="4" spans="1:7" x14ac:dyDescent="0.25">
      <c r="A4">
        <v>3</v>
      </c>
      <c r="B4" s="1">
        <v>34</v>
      </c>
      <c r="C4" s="1">
        <v>1908</v>
      </c>
      <c r="D4" s="1">
        <v>1.6779999999999999</v>
      </c>
      <c r="E4" s="2">
        <f t="shared" si="0"/>
        <v>0.59594755661501786</v>
      </c>
      <c r="F4" s="1">
        <v>41.3</v>
      </c>
      <c r="G4" s="1">
        <v>-17</v>
      </c>
    </row>
    <row r="5" spans="1:7" x14ac:dyDescent="0.25">
      <c r="A5">
        <v>4</v>
      </c>
      <c r="B5">
        <v>32</v>
      </c>
      <c r="C5">
        <v>1960</v>
      </c>
      <c r="D5">
        <v>1.633</v>
      </c>
      <c r="E5" s="3">
        <f t="shared" si="0"/>
        <v>0.61236987140232702</v>
      </c>
      <c r="F5">
        <v>67.099999999999994</v>
      </c>
      <c r="G5">
        <v>-31.5</v>
      </c>
    </row>
    <row r="6" spans="1:7" x14ac:dyDescent="0.25">
      <c r="A6">
        <v>5</v>
      </c>
      <c r="B6">
        <v>30</v>
      </c>
      <c r="C6">
        <v>1980</v>
      </c>
      <c r="D6">
        <v>1.6160000000000001</v>
      </c>
      <c r="E6" s="3">
        <f t="shared" si="0"/>
        <v>0.61881188118811881</v>
      </c>
      <c r="F6">
        <v>82.6</v>
      </c>
      <c r="G6">
        <v>-41.5</v>
      </c>
    </row>
    <row r="7" spans="1:7" x14ac:dyDescent="0.25">
      <c r="A7">
        <v>6</v>
      </c>
      <c r="B7">
        <v>28</v>
      </c>
      <c r="C7">
        <v>1997</v>
      </c>
      <c r="D7">
        <v>1.603</v>
      </c>
      <c r="E7" s="3">
        <f t="shared" si="0"/>
        <v>0.62383031815346224</v>
      </c>
      <c r="F7">
        <v>101.2</v>
      </c>
      <c r="G7">
        <v>-51.5</v>
      </c>
    </row>
    <row r="8" spans="1:7" x14ac:dyDescent="0.25">
      <c r="A8">
        <v>7</v>
      </c>
      <c r="B8">
        <v>27</v>
      </c>
      <c r="C8">
        <v>2002</v>
      </c>
      <c r="D8">
        <v>1.5980000000000001</v>
      </c>
      <c r="E8" s="3">
        <f t="shared" si="0"/>
        <v>0.62578222778473092</v>
      </c>
      <c r="F8">
        <v>108.2</v>
      </c>
      <c r="G8">
        <v>-56</v>
      </c>
    </row>
    <row r="9" spans="1:7" x14ac:dyDescent="0.25">
      <c r="A9">
        <v>8</v>
      </c>
      <c r="B9">
        <v>26</v>
      </c>
      <c r="C9">
        <v>2007</v>
      </c>
      <c r="D9">
        <v>1.5940000000000001</v>
      </c>
      <c r="E9" s="3">
        <f t="shared" si="0"/>
        <v>0.62735257214554574</v>
      </c>
      <c r="F9">
        <v>114</v>
      </c>
      <c r="G9">
        <v>-61.5</v>
      </c>
    </row>
    <row r="10" spans="1:7" x14ac:dyDescent="0.25">
      <c r="A10">
        <v>9</v>
      </c>
      <c r="B10">
        <v>25</v>
      </c>
      <c r="C10">
        <v>2012</v>
      </c>
      <c r="D10">
        <v>1.59</v>
      </c>
      <c r="E10" s="3">
        <f t="shared" si="0"/>
        <v>0.62893081761006286</v>
      </c>
      <c r="F10">
        <v>119</v>
      </c>
      <c r="G10">
        <v>-67</v>
      </c>
    </row>
    <row r="11" spans="1:7" x14ac:dyDescent="0.25">
      <c r="A11">
        <v>10</v>
      </c>
      <c r="B11">
        <v>1</v>
      </c>
      <c r="C11">
        <v>2016</v>
      </c>
      <c r="D11">
        <v>1.587</v>
      </c>
      <c r="E11" s="3">
        <f t="shared" si="0"/>
        <v>0.63011972274732198</v>
      </c>
      <c r="F11">
        <v>125.3</v>
      </c>
      <c r="G11">
        <v>-70.5</v>
      </c>
    </row>
    <row r="12" spans="1:7" x14ac:dyDescent="0.25">
      <c r="A12">
        <v>11</v>
      </c>
      <c r="B12">
        <v>2</v>
      </c>
      <c r="C12">
        <v>2020</v>
      </c>
      <c r="D12">
        <v>1.5840000000000001</v>
      </c>
      <c r="E12" s="3">
        <f t="shared" si="0"/>
        <v>0.63131313131313127</v>
      </c>
      <c r="F12">
        <v>124.9</v>
      </c>
      <c r="G12">
        <v>-77.5</v>
      </c>
    </row>
    <row r="13" spans="1:7" ht="14.4" customHeight="1" x14ac:dyDescent="0.25">
      <c r="A13">
        <v>12</v>
      </c>
      <c r="B13">
        <v>20</v>
      </c>
      <c r="C13">
        <v>2022</v>
      </c>
      <c r="D13">
        <v>1.5820000000000001</v>
      </c>
      <c r="E13" s="3">
        <f t="shared" si="0"/>
        <v>0.63211125158027814</v>
      </c>
      <c r="F13">
        <v>127.4</v>
      </c>
      <c r="G13">
        <v>-80</v>
      </c>
    </row>
    <row r="14" spans="1:7" x14ac:dyDescent="0.25">
      <c r="A14">
        <v>13</v>
      </c>
      <c r="B14">
        <v>19</v>
      </c>
      <c r="C14">
        <v>2023</v>
      </c>
      <c r="D14">
        <v>1.5820000000000001</v>
      </c>
      <c r="E14" s="3">
        <f t="shared" si="0"/>
        <v>0.63211125158027814</v>
      </c>
      <c r="F14">
        <v>127.5</v>
      </c>
      <c r="G14">
        <v>-80.5</v>
      </c>
    </row>
    <row r="15" spans="1:7" x14ac:dyDescent="0.25">
      <c r="A15">
        <v>14</v>
      </c>
      <c r="B15">
        <v>18</v>
      </c>
      <c r="C15">
        <v>2024</v>
      </c>
      <c r="D15">
        <v>1.581</v>
      </c>
      <c r="E15" s="3">
        <f t="shared" si="0"/>
        <v>0.63251106894370657</v>
      </c>
      <c r="F15">
        <v>128.19999999999999</v>
      </c>
      <c r="G15">
        <v>-82.5</v>
      </c>
    </row>
    <row r="16" spans="1:7" x14ac:dyDescent="0.25">
      <c r="A16">
        <v>15</v>
      </c>
      <c r="B16">
        <v>3</v>
      </c>
      <c r="C16">
        <v>2025</v>
      </c>
      <c r="D16">
        <v>1.58</v>
      </c>
      <c r="E16" s="3">
        <f t="shared" si="0"/>
        <v>0.63291139240506322</v>
      </c>
      <c r="F16">
        <v>127.5</v>
      </c>
      <c r="G16">
        <v>-85</v>
      </c>
    </row>
    <row r="17" spans="1:7" x14ac:dyDescent="0.25">
      <c r="A17">
        <v>16</v>
      </c>
      <c r="B17">
        <v>17</v>
      </c>
      <c r="C17">
        <v>2026</v>
      </c>
      <c r="D17">
        <v>1.579</v>
      </c>
      <c r="E17" s="3">
        <f t="shared" si="0"/>
        <v>0.6333122229259025</v>
      </c>
      <c r="F17">
        <v>128.6</v>
      </c>
      <c r="G17">
        <v>-85.5</v>
      </c>
    </row>
    <row r="18" spans="1:7" x14ac:dyDescent="0.25">
      <c r="A18">
        <v>17</v>
      </c>
      <c r="B18">
        <v>4</v>
      </c>
      <c r="C18">
        <v>2027</v>
      </c>
      <c r="D18">
        <v>1.579</v>
      </c>
      <c r="E18" s="3">
        <f t="shared" si="0"/>
        <v>0.6333122229259025</v>
      </c>
      <c r="F18">
        <v>127.7</v>
      </c>
      <c r="G18">
        <v>-86.5</v>
      </c>
    </row>
    <row r="19" spans="1:7" x14ac:dyDescent="0.25">
      <c r="A19">
        <v>18</v>
      </c>
      <c r="B19">
        <v>5</v>
      </c>
      <c r="C19">
        <v>2028</v>
      </c>
      <c r="D19">
        <v>1.5780000000000001</v>
      </c>
      <c r="E19" s="3">
        <f t="shared" si="0"/>
        <v>0.6337135614702154</v>
      </c>
      <c r="F19">
        <v>128.19999999999999</v>
      </c>
      <c r="G19">
        <v>-88</v>
      </c>
    </row>
    <row r="20" spans="1:7" x14ac:dyDescent="0.25">
      <c r="A20">
        <v>19</v>
      </c>
      <c r="B20">
        <v>6</v>
      </c>
      <c r="C20">
        <v>2029</v>
      </c>
      <c r="D20">
        <v>1.577</v>
      </c>
      <c r="E20" s="3">
        <f t="shared" si="0"/>
        <v>0.63411540900443886</v>
      </c>
      <c r="F20">
        <v>128.5</v>
      </c>
      <c r="G20">
        <v>-89.5</v>
      </c>
    </row>
    <row r="21" spans="1:7" x14ac:dyDescent="0.25">
      <c r="A21">
        <v>20</v>
      </c>
      <c r="B21">
        <v>7</v>
      </c>
      <c r="C21">
        <v>2030</v>
      </c>
      <c r="D21">
        <v>1.5760000000000001</v>
      </c>
      <c r="E21" s="3">
        <f t="shared" si="0"/>
        <v>0.63451776649746194</v>
      </c>
      <c r="F21">
        <v>128.6</v>
      </c>
      <c r="G21">
        <v>-91.5</v>
      </c>
    </row>
    <row r="22" spans="1:7" x14ac:dyDescent="0.25">
      <c r="A22">
        <v>21</v>
      </c>
      <c r="B22">
        <v>8</v>
      </c>
      <c r="C22">
        <v>2031</v>
      </c>
      <c r="D22">
        <v>1.5760000000000001</v>
      </c>
      <c r="E22" s="3">
        <f t="shared" si="0"/>
        <v>0.63451776649746194</v>
      </c>
      <c r="F22">
        <v>128.6</v>
      </c>
      <c r="G22">
        <v>-93</v>
      </c>
    </row>
    <row r="23" spans="1:7" x14ac:dyDescent="0.25">
      <c r="A23">
        <v>22</v>
      </c>
      <c r="B23">
        <v>9</v>
      </c>
      <c r="C23">
        <v>2032</v>
      </c>
      <c r="D23">
        <v>1.575</v>
      </c>
      <c r="E23" s="3">
        <f t="shared" si="0"/>
        <v>0.63492063492063489</v>
      </c>
      <c r="F23">
        <v>128.30000000000001</v>
      </c>
      <c r="G23">
        <v>-95</v>
      </c>
    </row>
    <row r="24" spans="1:7" x14ac:dyDescent="0.25">
      <c r="A24">
        <v>23</v>
      </c>
      <c r="B24">
        <v>10</v>
      </c>
      <c r="C24">
        <v>2033</v>
      </c>
      <c r="D24">
        <v>1.5740000000000001</v>
      </c>
      <c r="E24" s="3">
        <f t="shared" si="0"/>
        <v>0.63532401524777637</v>
      </c>
      <c r="F24">
        <v>128.4</v>
      </c>
      <c r="G24">
        <v>-96</v>
      </c>
    </row>
    <row r="25" spans="1:7" x14ac:dyDescent="0.25">
      <c r="A25">
        <v>24</v>
      </c>
      <c r="B25">
        <v>11</v>
      </c>
      <c r="C25">
        <v>2034</v>
      </c>
      <c r="D25">
        <v>1.573</v>
      </c>
      <c r="E25" s="3">
        <f t="shared" si="0"/>
        <v>0.63572790845518123</v>
      </c>
      <c r="F25">
        <v>127.9</v>
      </c>
      <c r="G25">
        <v>-97.5</v>
      </c>
    </row>
    <row r="26" spans="1:7" x14ac:dyDescent="0.25">
      <c r="A26">
        <v>25</v>
      </c>
      <c r="B26">
        <v>12</v>
      </c>
      <c r="C26">
        <v>2035</v>
      </c>
      <c r="D26">
        <v>1.5720000000000001</v>
      </c>
      <c r="E26" s="3">
        <f t="shared" si="0"/>
        <v>0.63613231552162852</v>
      </c>
      <c r="F26">
        <v>127.5</v>
      </c>
      <c r="G26">
        <v>-99.5</v>
      </c>
    </row>
    <row r="27" spans="1:7" x14ac:dyDescent="0.25">
      <c r="A27">
        <v>26</v>
      </c>
      <c r="B27">
        <v>13</v>
      </c>
      <c r="C27">
        <v>2036</v>
      </c>
      <c r="D27">
        <v>1.5720000000000001</v>
      </c>
      <c r="E27" s="3">
        <f t="shared" si="0"/>
        <v>0.63613231552162852</v>
      </c>
      <c r="F27">
        <v>127.1</v>
      </c>
      <c r="G27">
        <v>-101</v>
      </c>
    </row>
    <row r="28" spans="1:7" x14ac:dyDescent="0.25">
      <c r="A28">
        <v>27</v>
      </c>
      <c r="B28">
        <v>14</v>
      </c>
      <c r="C28">
        <v>2037</v>
      </c>
      <c r="D28">
        <v>1.571</v>
      </c>
      <c r="E28" s="3">
        <f t="shared" si="0"/>
        <v>0.63653723742838964</v>
      </c>
      <c r="F28">
        <v>126.7</v>
      </c>
      <c r="G28">
        <v>-102.5</v>
      </c>
    </row>
    <row r="29" spans="1:7" x14ac:dyDescent="0.25">
      <c r="A29">
        <v>28</v>
      </c>
      <c r="B29">
        <v>15</v>
      </c>
      <c r="C29">
        <v>2040</v>
      </c>
      <c r="D29">
        <v>1.569</v>
      </c>
      <c r="E29" s="3">
        <f t="shared" si="0"/>
        <v>0.63734862970044615</v>
      </c>
      <c r="F29">
        <v>124.7</v>
      </c>
      <c r="G29">
        <v>-106.5</v>
      </c>
    </row>
    <row r="30" spans="1:7" x14ac:dyDescent="0.25">
      <c r="A30">
        <v>29</v>
      </c>
      <c r="B30">
        <v>16</v>
      </c>
      <c r="C30">
        <v>2045</v>
      </c>
      <c r="D30">
        <v>1.5649999999999999</v>
      </c>
      <c r="E30" s="3">
        <f t="shared" si="0"/>
        <v>0.63897763578274758</v>
      </c>
      <c r="F30">
        <v>119.3</v>
      </c>
      <c r="G30">
        <v>-114</v>
      </c>
    </row>
    <row r="31" spans="1:7" x14ac:dyDescent="0.25">
      <c r="A31">
        <v>30</v>
      </c>
      <c r="B31">
        <v>21</v>
      </c>
      <c r="C31">
        <v>2050</v>
      </c>
      <c r="D31">
        <v>1.5609999999999999</v>
      </c>
      <c r="E31" s="3">
        <f t="shared" si="0"/>
        <v>0.64061499039077519</v>
      </c>
      <c r="F31">
        <v>112.4</v>
      </c>
      <c r="G31">
        <v>-121.5</v>
      </c>
    </row>
    <row r="32" spans="1:7" x14ac:dyDescent="0.25">
      <c r="A32">
        <v>31</v>
      </c>
      <c r="B32">
        <v>22</v>
      </c>
      <c r="C32">
        <v>2055</v>
      </c>
      <c r="D32">
        <v>1.5569999999999999</v>
      </c>
      <c r="E32" s="3">
        <f t="shared" si="0"/>
        <v>0.64226075786769432</v>
      </c>
      <c r="F32">
        <v>105.2</v>
      </c>
      <c r="G32">
        <v>-127.5</v>
      </c>
    </row>
    <row r="33" spans="1:7" x14ac:dyDescent="0.25">
      <c r="A33">
        <v>32</v>
      </c>
      <c r="B33">
        <v>23</v>
      </c>
      <c r="C33">
        <v>2060</v>
      </c>
      <c r="D33">
        <v>1.554</v>
      </c>
      <c r="E33" s="3">
        <f t="shared" si="0"/>
        <v>0.64350064350064351</v>
      </c>
      <c r="F33">
        <v>97.4</v>
      </c>
      <c r="G33">
        <v>-132</v>
      </c>
    </row>
    <row r="34" spans="1:7" x14ac:dyDescent="0.25">
      <c r="A34">
        <v>33</v>
      </c>
      <c r="B34">
        <v>24</v>
      </c>
      <c r="C34">
        <v>2065</v>
      </c>
      <c r="D34">
        <v>1.55</v>
      </c>
      <c r="E34" s="3">
        <f t="shared" si="0"/>
        <v>0.64516129032258063</v>
      </c>
      <c r="F34">
        <v>86.3</v>
      </c>
      <c r="G34">
        <v>-136.5</v>
      </c>
    </row>
    <row r="35" spans="1:7" x14ac:dyDescent="0.25">
      <c r="A35">
        <v>34</v>
      </c>
      <c r="B35">
        <v>29</v>
      </c>
      <c r="C35">
        <v>2080</v>
      </c>
      <c r="D35">
        <v>1.538</v>
      </c>
      <c r="E35" s="3">
        <f t="shared" si="0"/>
        <v>0.65019505851755521</v>
      </c>
      <c r="F35">
        <v>69.400000000000006</v>
      </c>
      <c r="G35">
        <v>-146.5</v>
      </c>
    </row>
    <row r="36" spans="1:7" x14ac:dyDescent="0.25">
      <c r="A36">
        <v>35</v>
      </c>
      <c r="B36">
        <v>31</v>
      </c>
      <c r="C36">
        <v>2100</v>
      </c>
      <c r="D36">
        <v>1.524</v>
      </c>
      <c r="E36" s="3">
        <f t="shared" si="0"/>
        <v>0.65616797900262469</v>
      </c>
      <c r="F36">
        <v>53.7</v>
      </c>
      <c r="G36">
        <v>-154</v>
      </c>
    </row>
    <row r="37" spans="1:7" x14ac:dyDescent="0.25">
      <c r="A37">
        <v>36</v>
      </c>
      <c r="B37" s="1">
        <v>33</v>
      </c>
      <c r="C37" s="1">
        <v>2130</v>
      </c>
      <c r="D37" s="1">
        <v>1.502</v>
      </c>
      <c r="E37" s="2">
        <f t="shared" si="0"/>
        <v>0.66577896138482029</v>
      </c>
      <c r="F37" s="1">
        <v>40.4</v>
      </c>
      <c r="G37" s="1">
        <v>-162</v>
      </c>
    </row>
    <row r="38" spans="1:7" x14ac:dyDescent="0.25">
      <c r="A38">
        <v>37</v>
      </c>
      <c r="B38" s="1">
        <v>35</v>
      </c>
      <c r="C38" s="1">
        <v>2230</v>
      </c>
      <c r="D38" s="1">
        <v>1.4350000000000001</v>
      </c>
      <c r="E38" s="2">
        <f t="shared" si="0"/>
        <v>0.69686411149825778</v>
      </c>
      <c r="F38" s="1">
        <v>20.6</v>
      </c>
      <c r="G38" s="1">
        <v>-168</v>
      </c>
    </row>
    <row r="39" spans="1:7" x14ac:dyDescent="0.25">
      <c r="A39">
        <v>38</v>
      </c>
      <c r="B39" s="1">
        <v>37</v>
      </c>
      <c r="C39" s="1">
        <v>2430</v>
      </c>
      <c r="D39" s="1">
        <v>1.3169999999999999</v>
      </c>
      <c r="E39" s="2">
        <f t="shared" si="0"/>
        <v>0.75930144267274113</v>
      </c>
      <c r="F39" s="1">
        <v>10.199999999999999</v>
      </c>
      <c r="G39" s="1">
        <v>-173</v>
      </c>
    </row>
  </sheetData>
  <autoFilter ref="B1:G33" xr:uid="{00000000-0001-0000-0000-000000000000}">
    <sortState xmlns:xlrd2="http://schemas.microsoft.com/office/spreadsheetml/2017/richdata2" ref="B2:G39">
      <sortCondition ref="E1:E33"/>
    </sortState>
  </autoFilter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毕翔宇</dc:creator>
  <cp:lastModifiedBy>momooo</cp:lastModifiedBy>
  <dcterms:created xsi:type="dcterms:W3CDTF">2015-06-05T18:19:34Z</dcterms:created>
  <dcterms:modified xsi:type="dcterms:W3CDTF">2025-04-12T04:30:55Z</dcterms:modified>
</cp:coreProperties>
</file>