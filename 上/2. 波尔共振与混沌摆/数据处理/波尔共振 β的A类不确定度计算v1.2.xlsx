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新文件\2. 大一下\1. 学习资料\6. 物理实验\2. 波尔共振与混沌摆\数据处理\"/>
    </mc:Choice>
  </mc:AlternateContent>
  <xr:revisionPtr revIDLastSave="0" documentId="13_ncr:1_{DA7BB98C-A412-49F0-A669-822C1D8FB6C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3" i="1" l="1"/>
  <c r="J24" i="1"/>
  <c r="J25" i="1"/>
  <c r="J26" i="1"/>
  <c r="J22" i="1"/>
  <c r="I23" i="1"/>
  <c r="E26" i="1"/>
  <c r="I26" i="1" s="1"/>
  <c r="E25" i="1"/>
  <c r="I25" i="1" s="1"/>
  <c r="E24" i="1"/>
  <c r="I24" i="1" s="1"/>
  <c r="E23" i="1"/>
  <c r="E22" i="1"/>
  <c r="I22" i="1" s="1"/>
  <c r="E7" i="1"/>
  <c r="I7" i="1" s="1"/>
  <c r="E8" i="1"/>
  <c r="I8" i="1" s="1"/>
  <c r="E9" i="1"/>
  <c r="I9" i="1" s="1"/>
  <c r="E10" i="1"/>
  <c r="I10" i="1" s="1"/>
  <c r="E6" i="1"/>
  <c r="I6" i="1" s="1"/>
  <c r="J7" i="1"/>
  <c r="J8" i="1"/>
  <c r="J9" i="1"/>
  <c r="J10" i="1"/>
  <c r="J6" i="1"/>
  <c r="I28" i="1" l="1"/>
  <c r="K23" i="1" s="1"/>
  <c r="I12" i="1"/>
  <c r="K8" i="1" s="1"/>
  <c r="C11" i="1"/>
  <c r="C27" i="1"/>
  <c r="K9" i="1"/>
  <c r="K10" i="1"/>
  <c r="K6" i="1"/>
  <c r="L28" i="1"/>
  <c r="P24" i="1" s="1"/>
  <c r="L12" i="1"/>
  <c r="P8" i="1" s="1"/>
  <c r="K7" i="1"/>
  <c r="K24" i="1"/>
  <c r="K22" i="1"/>
  <c r="K26" i="1"/>
  <c r="K25" i="1"/>
  <c r="I13" i="1" l="1"/>
  <c r="I14" i="1" s="1"/>
  <c r="I29" i="1"/>
  <c r="I30" i="1" s="1"/>
  <c r="I31" i="1" l="1"/>
  <c r="L30" i="1" s="1"/>
  <c r="I15" i="1"/>
  <c r="L14" i="1" s="1"/>
  <c r="L15" i="1" l="1"/>
  <c r="R8" i="1" s="1"/>
  <c r="S9" i="1"/>
  <c r="L31" i="1"/>
  <c r="R24" i="1" s="1"/>
  <c r="S25" i="1"/>
</calcChain>
</file>

<file path=xl/sharedStrings.xml><?xml version="1.0" encoding="utf-8"?>
<sst xmlns="http://schemas.openxmlformats.org/spreadsheetml/2006/main" count="80" uniqueCount="43">
  <si>
    <t>周期T</t>
    <phoneticPr fontId="2" type="noConversion"/>
  </si>
  <si>
    <t>()^2/4</t>
    <phoneticPr fontId="2" type="noConversion"/>
  </si>
  <si>
    <t>β相对不确定度</t>
    <phoneticPr fontId="2" type="noConversion"/>
  </si>
  <si>
    <t>β标准不确定度</t>
    <phoneticPr fontId="2" type="noConversion"/>
  </si>
  <si>
    <t>average β</t>
    <phoneticPr fontId="2" type="noConversion"/>
  </si>
  <si>
    <t>#300mA</t>
    <phoneticPr fontId="2" type="noConversion"/>
  </si>
  <si>
    <t>#600mA</t>
    <phoneticPr fontId="2" type="noConversion"/>
  </si>
  <si>
    <t>ln值 (记为j)</t>
    <phoneticPr fontId="2" type="noConversion"/>
  </si>
  <si>
    <t>j的a类不确定度</t>
    <phoneticPr fontId="2" type="noConversion"/>
  </si>
  <si>
    <t>average j</t>
    <phoneticPr fontId="2" type="noConversion"/>
  </si>
  <si>
    <t>j的标准误差</t>
    <phoneticPr fontId="2" type="noConversion"/>
  </si>
  <si>
    <t>保留两位</t>
    <phoneticPr fontId="2" type="noConversion"/>
  </si>
  <si>
    <t>output</t>
    <phoneticPr fontId="2" type="noConversion"/>
  </si>
  <si>
    <t>阻尼电流300mA</t>
    <phoneticPr fontId="2" type="noConversion"/>
  </si>
  <si>
    <t>序号</t>
    <phoneticPr fontId="2" type="noConversion"/>
  </si>
  <si>
    <t>振幅θn/°</t>
    <phoneticPr fontId="2" type="noConversion"/>
  </si>
  <si>
    <t>ln(θi/θ(i+5))</t>
    <phoneticPr fontId="2" type="noConversion"/>
  </si>
  <si>
    <t>↓自动计算</t>
    <phoneticPr fontId="2" type="noConversion"/>
  </si>
  <si>
    <t>ln(θi/θ(i+5))平均值</t>
    <phoneticPr fontId="2" type="noConversion"/>
  </si>
  <si>
    <t>周期平均值Tbar/s</t>
    <phoneticPr fontId="2" type="noConversion"/>
  </si>
  <si>
    <t>←自动计算</t>
    <phoneticPr fontId="2" type="noConversion"/>
  </si>
  <si>
    <t>←自己填</t>
    <phoneticPr fontId="2" type="noConversion"/>
  </si>
  <si>
    <t>数据表达:</t>
    <phoneticPr fontId="2" type="noConversion"/>
  </si>
  <si>
    <t>±</t>
    <phoneticPr fontId="2" type="noConversion"/>
  </si>
  <si>
    <t>s^(-1)</t>
    <phoneticPr fontId="2" type="noConversion"/>
  </si>
  <si>
    <t>(P=95.5%)</t>
    <phoneticPr fontId="2" type="noConversion"/>
  </si>
  <si>
    <t xml:space="preserve">Ur = </t>
    <phoneticPr fontId="2" type="noConversion"/>
  </si>
  <si>
    <t>↓↓↓</t>
    <phoneticPr fontId="2" type="noConversion"/>
  </si>
  <si>
    <t>与不确定度同末位</t>
    <phoneticPr fontId="2" type="noConversion"/>
  </si>
  <si>
    <t>β2 =</t>
    <phoneticPr fontId="2" type="noConversion"/>
  </si>
  <si>
    <t>β1 =</t>
    <phoneticPr fontId="2" type="noConversion"/>
  </si>
  <si>
    <t>阻尼电流600mA</t>
    <phoneticPr fontId="2" type="noConversion"/>
  </si>
  <si>
    <t>操作方法：自行输入蓝底部分数据即可，全自动计算，右边公式不用动。</t>
    <phoneticPr fontId="2" type="noConversion"/>
  </si>
  <si>
    <t>说       明：仅供参考，数据、进位等有误概不负责。未明确标注留多少位有效数字的自行判断。</t>
    <phoneticPr fontId="2" type="noConversion"/>
  </si>
  <si>
    <t>保留一位</t>
    <phoneticPr fontId="2" type="noConversion"/>
  </si>
  <si>
    <t>制作：</t>
    <phoneticPr fontId="2" type="noConversion"/>
  </si>
  <si>
    <t>Last Updated:</t>
    <phoneticPr fontId="3" type="noConversion"/>
  </si>
  <si>
    <t>机械学院 24级 momooo</t>
    <phoneticPr fontId="3" type="noConversion"/>
  </si>
  <si>
    <t>j的a类标准不确定度</t>
    <phoneticPr fontId="2" type="noConversion"/>
  </si>
  <si>
    <t>n=5, p=95.5%</t>
    <phoneticPr fontId="2" type="noConversion"/>
  </si>
  <si>
    <t>tp</t>
    <phoneticPr fontId="2" type="noConversion"/>
  </si>
  <si>
    <t>v1.3</t>
    <phoneticPr fontId="2" type="noConversion"/>
  </si>
  <si>
    <t>2025.3.16  10:21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</si>
</sst>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000_);[Red]\(0.0000000\)"/>
    <numFmt numFmtId="177" formatCode="0.00000"/>
    <numFmt numFmtId="178" formatCode="0.0000_);[Red]\(0.0000\)"/>
    <numFmt numFmtId="179" formatCode="0.00000_);[Red]\(0.00000\)"/>
    <numFmt numFmtId="180" formatCode="0.0000"/>
  </numFmts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20">
    <xf numFmtId="0" fontId="0" fillId="0" borderId="0" xfId="0"/>
    <xf numFmtId="177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176" fontId="0" fillId="3" borderId="0" xfId="0" applyNumberFormat="1" applyFill="1"/>
    <xf numFmtId="10" fontId="0" fillId="3" borderId="0" xfId="1" applyNumberFormat="1" applyFont="1" applyFill="1" applyAlignment="1"/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10" fontId="0" fillId="3" borderId="0" xfId="0" applyNumberFormat="1" applyFill="1" applyAlignment="1">
      <alignment horizontal="left"/>
    </xf>
    <xf numFmtId="177" fontId="0" fillId="3" borderId="0" xfId="0" applyNumberFormat="1" applyFill="1"/>
    <xf numFmtId="179" fontId="0" fillId="3" borderId="0" xfId="0" applyNumberFormat="1" applyFill="1" applyAlignment="1">
      <alignment horizontal="left"/>
    </xf>
    <xf numFmtId="178" fontId="0" fillId="3" borderId="0" xfId="0" applyNumberFormat="1" applyFill="1" applyAlignment="1">
      <alignment horizontal="left"/>
    </xf>
    <xf numFmtId="177" fontId="0" fillId="3" borderId="0" xfId="0" applyNumberFormat="1" applyFill="1" applyAlignment="1">
      <alignment horizontal="right"/>
    </xf>
    <xf numFmtId="180" fontId="0" fillId="3" borderId="0" xfId="0" applyNumberFormat="1" applyFill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77" fontId="0" fillId="3" borderId="0" xfId="0" applyNumberFormat="1" applyFill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"/>
  <sheetViews>
    <sheetView tabSelected="1" workbookViewId="0"/>
  </sheetViews>
  <sheetFormatPr defaultRowHeight="13.8" x14ac:dyDescent="0.25"/>
  <cols>
    <col min="1" max="1" width="5.33203125" customWidth="1"/>
    <col min="2" max="2" width="12.77734375" customWidth="1"/>
    <col min="3" max="3" width="5.6640625" customWidth="1"/>
    <col min="4" max="4" width="12.109375" customWidth="1"/>
    <col min="5" max="6" width="13.44140625" customWidth="1"/>
    <col min="7" max="7" width="9.21875" customWidth="1"/>
    <col min="8" max="8" width="19.88671875" bestFit="1" customWidth="1"/>
    <col min="9" max="9" width="12.77734375" bestFit="1" customWidth="1"/>
    <col min="11" max="11" width="15.44140625" customWidth="1"/>
    <col min="12" max="12" width="15.109375" customWidth="1"/>
    <col min="14" max="14" width="10.5546875" customWidth="1"/>
    <col min="15" max="15" width="5.33203125" customWidth="1"/>
    <col min="16" max="16" width="10.21875" customWidth="1"/>
    <col min="17" max="17" width="2.33203125" customWidth="1"/>
    <col min="18" max="18" width="8.88671875" customWidth="1"/>
    <col min="19" max="19" width="7.33203125" customWidth="1"/>
  </cols>
  <sheetData>
    <row r="1" spans="1:19" x14ac:dyDescent="0.25">
      <c r="A1" t="s">
        <v>41</v>
      </c>
      <c r="B1" t="s">
        <v>33</v>
      </c>
    </row>
    <row r="2" spans="1:19" x14ac:dyDescent="0.25">
      <c r="B2" t="s">
        <v>32</v>
      </c>
    </row>
    <row r="3" spans="1:19" x14ac:dyDescent="0.25">
      <c r="H3" t="s">
        <v>12</v>
      </c>
    </row>
    <row r="4" spans="1:19" x14ac:dyDescent="0.25">
      <c r="A4" t="s">
        <v>13</v>
      </c>
      <c r="E4" t="s">
        <v>17</v>
      </c>
    </row>
    <row r="5" spans="1:19" x14ac:dyDescent="0.25">
      <c r="A5" t="s">
        <v>14</v>
      </c>
      <c r="B5" t="s">
        <v>15</v>
      </c>
      <c r="C5" t="s">
        <v>14</v>
      </c>
      <c r="D5" t="s">
        <v>15</v>
      </c>
      <c r="E5" t="s">
        <v>16</v>
      </c>
      <c r="H5" t="s">
        <v>5</v>
      </c>
      <c r="I5" t="s">
        <v>7</v>
      </c>
      <c r="J5" t="s">
        <v>0</v>
      </c>
      <c r="K5" t="s">
        <v>1</v>
      </c>
    </row>
    <row r="6" spans="1:19" x14ac:dyDescent="0.25">
      <c r="A6">
        <v>1</v>
      </c>
      <c r="B6" s="3">
        <v>131.44</v>
      </c>
      <c r="C6">
        <v>6</v>
      </c>
      <c r="D6" s="3">
        <v>109.95</v>
      </c>
      <c r="E6" s="10">
        <f>LN(B6/D6)</f>
        <v>0.17852475672824245</v>
      </c>
      <c r="H6">
        <v>1</v>
      </c>
      <c r="I6" s="1">
        <f>E6</f>
        <v>0.17852475672824245</v>
      </c>
      <c r="J6">
        <f>$C$12</f>
        <v>1.5780000000000001</v>
      </c>
      <c r="K6">
        <f>((I6-$I$12)^2)/4</f>
        <v>1.0465090572238715E-10</v>
      </c>
      <c r="P6" s="7" t="s">
        <v>28</v>
      </c>
      <c r="R6" t="s">
        <v>34</v>
      </c>
    </row>
    <row r="7" spans="1:19" x14ac:dyDescent="0.25">
      <c r="A7">
        <v>2</v>
      </c>
      <c r="B7" s="3">
        <v>126.87</v>
      </c>
      <c r="C7">
        <v>7</v>
      </c>
      <c r="D7" s="3">
        <v>106.08</v>
      </c>
      <c r="E7" s="10">
        <f t="shared" ref="E7:E10" si="0">LN(B7/D7)</f>
        <v>0.17896941371495451</v>
      </c>
      <c r="H7">
        <v>2</v>
      </c>
      <c r="I7" s="1">
        <f t="shared" ref="I7:I10" si="1">E7</f>
        <v>0.17896941371495451</v>
      </c>
      <c r="J7">
        <f t="shared" ref="J7:J10" si="2">$C$12</f>
        <v>1.5780000000000001</v>
      </c>
      <c r="K7">
        <f t="shared" ref="K7:K9" si="3">((I7-$I$12)^2)/4</f>
        <v>5.4083407495926239E-8</v>
      </c>
      <c r="P7" s="2" t="s">
        <v>27</v>
      </c>
      <c r="R7" s="2" t="s">
        <v>27</v>
      </c>
    </row>
    <row r="8" spans="1:19" x14ac:dyDescent="0.25">
      <c r="A8">
        <v>3</v>
      </c>
      <c r="B8" s="3">
        <v>122.42</v>
      </c>
      <c r="C8">
        <v>8</v>
      </c>
      <c r="D8" s="3">
        <v>102.37</v>
      </c>
      <c r="E8" s="10">
        <f t="shared" si="0"/>
        <v>0.17886405449124432</v>
      </c>
      <c r="H8">
        <v>3</v>
      </c>
      <c r="I8" s="1">
        <f t="shared" si="1"/>
        <v>0.17886405449124432</v>
      </c>
      <c r="J8">
        <f t="shared" si="2"/>
        <v>1.5780000000000001</v>
      </c>
      <c r="K8">
        <f t="shared" si="3"/>
        <v>3.235637694355293E-8</v>
      </c>
      <c r="N8" s="4" t="s">
        <v>22</v>
      </c>
      <c r="O8" s="8" t="s">
        <v>30</v>
      </c>
      <c r="P8" s="13">
        <f>L12</f>
        <v>2.2624118748185984E-2</v>
      </c>
      <c r="Q8" s="4" t="s">
        <v>23</v>
      </c>
      <c r="R8" s="11">
        <f>L15</f>
        <v>8.6810837484968802E-5</v>
      </c>
      <c r="S8" s="4" t="s">
        <v>24</v>
      </c>
    </row>
    <row r="9" spans="1:19" x14ac:dyDescent="0.25">
      <c r="A9">
        <v>4</v>
      </c>
      <c r="B9" s="3">
        <v>118.13</v>
      </c>
      <c r="C9">
        <v>9</v>
      </c>
      <c r="D9" s="3">
        <v>98.81</v>
      </c>
      <c r="E9" s="10">
        <f t="shared" si="0"/>
        <v>0.17858689875355702</v>
      </c>
      <c r="H9">
        <v>4</v>
      </c>
      <c r="I9" s="1">
        <f t="shared" si="1"/>
        <v>0.17858689875355702</v>
      </c>
      <c r="J9">
        <f t="shared" si="2"/>
        <v>1.5780000000000001</v>
      </c>
      <c r="K9">
        <f t="shared" si="3"/>
        <v>1.7057655951018004E-9</v>
      </c>
      <c r="N9" s="4"/>
      <c r="O9" s="4"/>
      <c r="P9" s="8" t="s">
        <v>25</v>
      </c>
      <c r="Q9" s="4"/>
      <c r="R9" s="8" t="s">
        <v>26</v>
      </c>
      <c r="S9" s="9">
        <f>L14</f>
        <v>3.8370925493807066E-3</v>
      </c>
    </row>
    <row r="10" spans="1:19" x14ac:dyDescent="0.25">
      <c r="A10">
        <v>5</v>
      </c>
      <c r="B10" s="3">
        <v>113.95</v>
      </c>
      <c r="C10">
        <v>10</v>
      </c>
      <c r="D10" s="3">
        <v>95.41</v>
      </c>
      <c r="E10" s="10">
        <f t="shared" si="0"/>
        <v>0.17757636092793869</v>
      </c>
      <c r="H10">
        <v>5</v>
      </c>
      <c r="I10" s="1">
        <f t="shared" si="1"/>
        <v>0.17757636092793869</v>
      </c>
      <c r="J10">
        <f t="shared" si="2"/>
        <v>1.5780000000000001</v>
      </c>
      <c r="K10">
        <f>((I10-$I$12)^2)/4</f>
        <v>2.1526630281956526E-7</v>
      </c>
    </row>
    <row r="11" spans="1:19" x14ac:dyDescent="0.25">
      <c r="A11" s="17" t="s">
        <v>18</v>
      </c>
      <c r="B11" s="17"/>
      <c r="C11" s="19">
        <f>AVERAGE(E6:E10)</f>
        <v>0.17850429692318742</v>
      </c>
      <c r="D11" s="19"/>
      <c r="E11" s="19"/>
      <c r="F11" s="15" t="s">
        <v>20</v>
      </c>
    </row>
    <row r="12" spans="1:19" x14ac:dyDescent="0.25">
      <c r="A12" s="17" t="s">
        <v>19</v>
      </c>
      <c r="B12" s="17"/>
      <c r="C12" s="18">
        <v>1.5780000000000001</v>
      </c>
      <c r="D12" s="18"/>
      <c r="E12" s="18"/>
      <c r="F12" s="15" t="s">
        <v>21</v>
      </c>
      <c r="H12" t="s">
        <v>9</v>
      </c>
      <c r="I12">
        <f>AVERAGE(I6:I10)</f>
        <v>0.17850429692318742</v>
      </c>
      <c r="K12" s="4" t="s">
        <v>4</v>
      </c>
      <c r="L12" s="4">
        <f>I12/(5*J6)</f>
        <v>2.2624118748185984E-2</v>
      </c>
    </row>
    <row r="13" spans="1:19" x14ac:dyDescent="0.25">
      <c r="H13" t="s">
        <v>10</v>
      </c>
      <c r="I13">
        <f>SQRT(SUM(K6:K10))</f>
        <v>5.5092331931029081E-4</v>
      </c>
    </row>
    <row r="14" spans="1:19" x14ac:dyDescent="0.25">
      <c r="H14" t="s">
        <v>38</v>
      </c>
      <c r="I14">
        <f>I13/SQRT(5)</f>
        <v>2.4638039847352656E-4</v>
      </c>
      <c r="K14" s="4" t="s">
        <v>2</v>
      </c>
      <c r="L14" s="6">
        <f>SQRT((1/I12)^2*I15^2)</f>
        <v>3.8370925493807066E-3</v>
      </c>
      <c r="M14" t="s">
        <v>11</v>
      </c>
    </row>
    <row r="15" spans="1:19" x14ac:dyDescent="0.25">
      <c r="H15" t="s">
        <v>8</v>
      </c>
      <c r="I15">
        <f>I14*I17</f>
        <v>6.8493750775640381E-4</v>
      </c>
      <c r="K15" s="4" t="s">
        <v>3</v>
      </c>
      <c r="L15" s="5">
        <f>L14*L12</f>
        <v>8.6810837484968802E-5</v>
      </c>
      <c r="M15" t="s">
        <v>34</v>
      </c>
    </row>
    <row r="17" spans="1:19" x14ac:dyDescent="0.25">
      <c r="H17" t="s">
        <v>40</v>
      </c>
      <c r="I17">
        <v>2.78</v>
      </c>
    </row>
    <row r="18" spans="1:19" x14ac:dyDescent="0.25">
      <c r="H18" t="s">
        <v>39</v>
      </c>
    </row>
    <row r="20" spans="1:19" x14ac:dyDescent="0.25">
      <c r="A20" t="s">
        <v>31</v>
      </c>
      <c r="E20" t="s">
        <v>17</v>
      </c>
    </row>
    <row r="21" spans="1:19" x14ac:dyDescent="0.25">
      <c r="A21" t="s">
        <v>14</v>
      </c>
      <c r="B21" t="s">
        <v>15</v>
      </c>
      <c r="C21" t="s">
        <v>14</v>
      </c>
      <c r="D21" t="s">
        <v>15</v>
      </c>
      <c r="E21" t="s">
        <v>16</v>
      </c>
      <c r="H21" t="s">
        <v>6</v>
      </c>
      <c r="I21" t="s">
        <v>7</v>
      </c>
      <c r="J21" t="s">
        <v>0</v>
      </c>
      <c r="K21" t="s">
        <v>1</v>
      </c>
    </row>
    <row r="22" spans="1:19" x14ac:dyDescent="0.25">
      <c r="A22">
        <v>1</v>
      </c>
      <c r="B22" s="3">
        <v>122.23</v>
      </c>
      <c r="C22">
        <v>6</v>
      </c>
      <c r="D22" s="3">
        <v>67.88</v>
      </c>
      <c r="E22" s="10">
        <f>LN(B22/D22)</f>
        <v>0.58816307542314594</v>
      </c>
      <c r="H22">
        <v>1</v>
      </c>
      <c r="I22" s="1">
        <f>E22</f>
        <v>0.58816307542314594</v>
      </c>
      <c r="J22">
        <f>$C$28</f>
        <v>1.587</v>
      </c>
      <c r="K22">
        <f>((I22-$I$28)^2)/4</f>
        <v>2.6379705836367097E-6</v>
      </c>
      <c r="P22" s="7" t="s">
        <v>28</v>
      </c>
      <c r="R22" t="s">
        <v>34</v>
      </c>
    </row>
    <row r="23" spans="1:19" x14ac:dyDescent="0.25">
      <c r="A23">
        <v>2</v>
      </c>
      <c r="B23" s="3">
        <v>108.76</v>
      </c>
      <c r="C23">
        <v>7</v>
      </c>
      <c r="D23" s="3">
        <v>60.25</v>
      </c>
      <c r="E23" s="10">
        <f t="shared" ref="E23:E26" si="4">LN(B23/D23)</f>
        <v>0.59064104739350554</v>
      </c>
      <c r="H23">
        <v>2</v>
      </c>
      <c r="I23" s="1">
        <f t="shared" ref="I23:I26" si="5">E23</f>
        <v>0.59064104739350554</v>
      </c>
      <c r="J23">
        <f t="shared" ref="J23:J26" si="6">$C$28</f>
        <v>1.587</v>
      </c>
      <c r="K23">
        <f>((I23-$I$28)^2)/4</f>
        <v>1.4837677963057929E-7</v>
      </c>
      <c r="P23" s="2" t="s">
        <v>27</v>
      </c>
      <c r="R23" s="2" t="s">
        <v>27</v>
      </c>
    </row>
    <row r="24" spans="1:19" x14ac:dyDescent="0.25">
      <c r="A24">
        <v>3</v>
      </c>
      <c r="B24" s="3">
        <v>96.83</v>
      </c>
      <c r="C24">
        <v>8</v>
      </c>
      <c r="D24" s="3">
        <v>53.56</v>
      </c>
      <c r="E24" s="10">
        <f t="shared" si="4"/>
        <v>0.59215434280046786</v>
      </c>
      <c r="H24">
        <v>3</v>
      </c>
      <c r="I24" s="1">
        <f t="shared" si="5"/>
        <v>0.59215434280046786</v>
      </c>
      <c r="J24">
        <f t="shared" si="6"/>
        <v>1.587</v>
      </c>
      <c r="K24">
        <f t="shared" ref="K24:K26" si="7">((I24-$I$28)^2)/4</f>
        <v>1.3797557610871844E-7</v>
      </c>
      <c r="N24" s="4" t="s">
        <v>22</v>
      </c>
      <c r="O24" s="8" t="s">
        <v>29</v>
      </c>
      <c r="P24" s="14">
        <f>L28</f>
        <v>7.4532002712721132E-2</v>
      </c>
      <c r="Q24" s="4" t="s">
        <v>23</v>
      </c>
      <c r="R24" s="12">
        <f>L31</f>
        <v>3.2578664323653928E-4</v>
      </c>
      <c r="S24" s="4" t="s">
        <v>24</v>
      </c>
    </row>
    <row r="25" spans="1:19" x14ac:dyDescent="0.25">
      <c r="A25">
        <v>4</v>
      </c>
      <c r="B25" s="3">
        <v>86.27</v>
      </c>
      <c r="C25">
        <v>9</v>
      </c>
      <c r="D25" s="3">
        <v>47.66</v>
      </c>
      <c r="E25" s="10">
        <f t="shared" si="4"/>
        <v>0.59338944141789141</v>
      </c>
      <c r="H25">
        <v>4</v>
      </c>
      <c r="I25" s="1">
        <f t="shared" si="5"/>
        <v>0.59338944141789141</v>
      </c>
      <c r="J25">
        <f t="shared" si="6"/>
        <v>1.587</v>
      </c>
      <c r="K25">
        <f t="shared" si="7"/>
        <v>9.7812089363234999E-7</v>
      </c>
      <c r="N25" s="4"/>
      <c r="O25" s="4"/>
      <c r="P25" s="8" t="s">
        <v>25</v>
      </c>
      <c r="Q25" s="4"/>
      <c r="R25" s="8" t="s">
        <v>26</v>
      </c>
      <c r="S25" s="9">
        <f>L30</f>
        <v>4.3710973994924461E-3</v>
      </c>
    </row>
    <row r="26" spans="1:19" x14ac:dyDescent="0.25">
      <c r="A26">
        <v>5</v>
      </c>
      <c r="B26" s="3">
        <v>76.569999999999993</v>
      </c>
      <c r="C26">
        <v>10</v>
      </c>
      <c r="D26" s="3">
        <v>42.33</v>
      </c>
      <c r="E26" s="10">
        <f t="shared" si="4"/>
        <v>0.59270930059219962</v>
      </c>
      <c r="H26">
        <v>5</v>
      </c>
      <c r="I26" s="1">
        <f t="shared" si="5"/>
        <v>0.59270930059219962</v>
      </c>
      <c r="J26">
        <f t="shared" si="6"/>
        <v>1.587</v>
      </c>
      <c r="K26">
        <f t="shared" si="7"/>
        <v>4.2110953929116266E-7</v>
      </c>
    </row>
    <row r="27" spans="1:19" x14ac:dyDescent="0.25">
      <c r="A27" s="17" t="s">
        <v>18</v>
      </c>
      <c r="B27" s="17"/>
      <c r="C27" s="19">
        <f>AVERAGE(E22:E26)</f>
        <v>0.59141144152544212</v>
      </c>
      <c r="D27" s="19"/>
      <c r="E27" s="19"/>
      <c r="F27" s="15" t="s">
        <v>20</v>
      </c>
    </row>
    <row r="28" spans="1:19" x14ac:dyDescent="0.25">
      <c r="A28" s="17" t="s">
        <v>19</v>
      </c>
      <c r="B28" s="17"/>
      <c r="C28" s="18">
        <v>1.587</v>
      </c>
      <c r="D28" s="18"/>
      <c r="E28" s="18"/>
      <c r="F28" s="15" t="s">
        <v>21</v>
      </c>
      <c r="H28" t="s">
        <v>9</v>
      </c>
      <c r="I28" s="1">
        <f>AVERAGE(I22:I26)</f>
        <v>0.59141144152544212</v>
      </c>
      <c r="K28" s="4" t="s">
        <v>4</v>
      </c>
      <c r="L28" s="4">
        <f>I28/(5*J22)</f>
        <v>7.4532002712721132E-2</v>
      </c>
    </row>
    <row r="29" spans="1:19" x14ac:dyDescent="0.25">
      <c r="H29" t="s">
        <v>10</v>
      </c>
      <c r="I29">
        <f>SQRT(SUM(K22:K26))</f>
        <v>2.07931560189874E-3</v>
      </c>
    </row>
    <row r="30" spans="1:19" x14ac:dyDescent="0.25">
      <c r="H30" t="s">
        <v>38</v>
      </c>
      <c r="I30">
        <f>I29/SQRT(5)</f>
        <v>9.2989820650429464E-4</v>
      </c>
      <c r="K30" s="4" t="s">
        <v>2</v>
      </c>
      <c r="L30" s="6">
        <f>SQRT((1/I28)^2*I31^2)</f>
        <v>4.3710973994924461E-3</v>
      </c>
      <c r="M30" t="s">
        <v>11</v>
      </c>
    </row>
    <row r="31" spans="1:19" x14ac:dyDescent="0.25">
      <c r="B31" t="s">
        <v>35</v>
      </c>
      <c r="C31" s="16" t="s">
        <v>37</v>
      </c>
      <c r="H31" t="s">
        <v>8</v>
      </c>
      <c r="I31">
        <f>I30*I33</f>
        <v>2.5851170140819388E-3</v>
      </c>
      <c r="K31" s="4" t="s">
        <v>3</v>
      </c>
      <c r="L31" s="5">
        <f>L30*L28</f>
        <v>3.2578664323653928E-4</v>
      </c>
      <c r="M31" t="s">
        <v>34</v>
      </c>
    </row>
    <row r="32" spans="1:19" x14ac:dyDescent="0.25">
      <c r="B32" s="16" t="s">
        <v>36</v>
      </c>
      <c r="C32" s="16" t="s">
        <v>42</v>
      </c>
    </row>
    <row r="33" spans="8:9" x14ac:dyDescent="0.25">
      <c r="H33" t="s">
        <v>40</v>
      </c>
      <c r="I33">
        <v>2.78</v>
      </c>
    </row>
    <row r="34" spans="8:9" x14ac:dyDescent="0.25">
      <c r="H34" t="s">
        <v>39</v>
      </c>
    </row>
  </sheetData>
  <sheetProtection formatCells="0" formatColumns="0" formatRows="0" insertColumns="0" insertRows="0" insertHyperlinks="0" sort="0" autoFilter="0" pivotTables="0"/>
  <protectedRanges>
    <protectedRange algorithmName="SHA-512" hashValue="EZ54qFQBiANG5MuYW1m8n46tKWE/eQVeKG0Xbti9tRO2NmtHlUnFNg/kjtzQ+DDOQNS1eEMKaMwrT+lwKGa28w==" saltValue="bWzCL/4lg55q98lXJpVB2g==" spinCount="100000" sqref="B31:C32" name="区域1"/>
  </protectedRanges>
  <mergeCells count="8">
    <mergeCell ref="A28:B28"/>
    <mergeCell ref="C28:E28"/>
    <mergeCell ref="A27:B27"/>
    <mergeCell ref="C27:E27"/>
    <mergeCell ref="A11:B11"/>
    <mergeCell ref="A12:B12"/>
    <mergeCell ref="C12:E12"/>
    <mergeCell ref="C11:E1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 momooo</dc:creator>
  <cp:lastModifiedBy>momooo</cp:lastModifiedBy>
  <dcterms:created xsi:type="dcterms:W3CDTF">2015-06-05T18:19:34Z</dcterms:created>
  <dcterms:modified xsi:type="dcterms:W3CDTF">2025-03-16T02:23:38Z</dcterms:modified>
</cp:coreProperties>
</file>