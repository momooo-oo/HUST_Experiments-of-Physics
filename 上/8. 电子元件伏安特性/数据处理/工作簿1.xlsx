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8. 电子元件伏安特性\数据处理\"/>
    </mc:Choice>
  </mc:AlternateContent>
  <xr:revisionPtr revIDLastSave="0" documentId="13_ncr:1_{75CB008B-FBCD-48DC-9F10-6C6B1F02B79F}" xr6:coauthVersionLast="47" xr6:coauthVersionMax="47" xr10:uidLastSave="{00000000-0000-0000-0000-000000000000}"/>
  <bookViews>
    <workbookView xWindow="-108" yWindow="-108" windowWidth="23256" windowHeight="13896" activeTab="3" xr2:uid="{F0C62010-0851-44FA-8F0D-7F8ACA4B0D9B}"/>
  </bookViews>
  <sheets>
    <sheet name="10Ω" sheetId="5" r:id="rId1"/>
    <sheet name="1000Ω新" sheetId="7" r:id="rId2"/>
    <sheet name="二极管新 (2)" sheetId="8" r:id="rId3"/>
    <sheet name="PN结1" sheetId="9" r:id="rId4"/>
  </sheets>
  <definedNames>
    <definedName name="_xlnm._FilterDatabase" localSheetId="2" hidden="1">'二极管新 (2)'!$A$2:$I$22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9" l="1"/>
  <c r="C11" i="9"/>
  <c r="C10" i="9"/>
  <c r="C9" i="9"/>
  <c r="C8" i="9"/>
  <c r="B3" i="9"/>
  <c r="B4" i="9"/>
  <c r="B5" i="9"/>
  <c r="B6" i="9"/>
  <c r="B2" i="9"/>
  <c r="G11" i="8"/>
  <c r="G10" i="8"/>
  <c r="G9" i="8"/>
  <c r="G8" i="8"/>
  <c r="G7" i="8"/>
  <c r="G6" i="8"/>
  <c r="G5" i="8"/>
  <c r="G4" i="8"/>
  <c r="G3" i="8"/>
  <c r="G12" i="8"/>
  <c r="E11" i="8"/>
  <c r="E10" i="8"/>
  <c r="E9" i="8"/>
  <c r="E8" i="8"/>
  <c r="E7" i="8"/>
  <c r="E6" i="8"/>
  <c r="E5" i="8"/>
  <c r="E4" i="8"/>
  <c r="E3" i="8"/>
  <c r="E12" i="8"/>
  <c r="D16" i="5"/>
  <c r="I3" i="8"/>
  <c r="E14" i="8"/>
  <c r="E15" i="8"/>
  <c r="E16" i="8"/>
  <c r="E17" i="8"/>
  <c r="E18" i="8"/>
  <c r="E19" i="8"/>
  <c r="E20" i="8"/>
  <c r="E21" i="8"/>
  <c r="E22" i="8"/>
  <c r="E13" i="8"/>
  <c r="S14" i="8"/>
  <c r="S13" i="8"/>
  <c r="O10" i="8"/>
  <c r="I12" i="8"/>
  <c r="I11" i="8"/>
  <c r="I10" i="8"/>
  <c r="I9" i="8"/>
  <c r="I8" i="8"/>
  <c r="I7" i="8"/>
  <c r="I6" i="8"/>
  <c r="I5" i="8"/>
  <c r="I4" i="8"/>
  <c r="G14" i="8"/>
  <c r="G15" i="8"/>
  <c r="G16" i="8"/>
  <c r="G17" i="8"/>
  <c r="G18" i="8"/>
  <c r="G19" i="8"/>
  <c r="G20" i="8"/>
  <c r="G21" i="8"/>
  <c r="G22" i="8"/>
  <c r="G13" i="8"/>
  <c r="M14" i="8"/>
  <c r="M13" i="8"/>
  <c r="I22" i="8"/>
  <c r="I21" i="8"/>
  <c r="I20" i="8"/>
  <c r="O9" i="8"/>
  <c r="I19" i="8"/>
  <c r="I18" i="8"/>
  <c r="I17" i="8"/>
  <c r="I16" i="8"/>
  <c r="I15" i="8"/>
  <c r="I14" i="8"/>
  <c r="I13" i="8"/>
  <c r="D3" i="7"/>
  <c r="D4" i="7"/>
  <c r="D5" i="7"/>
  <c r="D6" i="7"/>
  <c r="D7" i="7"/>
  <c r="D8" i="7"/>
  <c r="D9" i="7"/>
  <c r="D10" i="7"/>
  <c r="D11" i="7"/>
  <c r="D12" i="7"/>
  <c r="L16" i="7"/>
  <c r="L13" i="7"/>
  <c r="H12" i="7"/>
  <c r="F12" i="7"/>
  <c r="H11" i="7"/>
  <c r="F11" i="7"/>
  <c r="H10" i="7"/>
  <c r="F10" i="7"/>
  <c r="N9" i="7"/>
  <c r="H9" i="7"/>
  <c r="F9" i="7"/>
  <c r="H8" i="7"/>
  <c r="F8" i="7"/>
  <c r="H7" i="7"/>
  <c r="F7" i="7"/>
  <c r="H6" i="7"/>
  <c r="F6" i="7"/>
  <c r="H5" i="7"/>
  <c r="F5" i="7"/>
  <c r="H4" i="7"/>
  <c r="F4" i="7"/>
  <c r="H3" i="7"/>
  <c r="F3" i="7"/>
  <c r="H4" i="5"/>
  <c r="H5" i="5"/>
  <c r="H6" i="5"/>
  <c r="H7" i="5"/>
  <c r="H8" i="5"/>
  <c r="H9" i="5"/>
  <c r="H10" i="5"/>
  <c r="H11" i="5"/>
  <c r="H12" i="5"/>
  <c r="H3" i="5"/>
  <c r="L16" i="5"/>
  <c r="L13" i="5"/>
  <c r="F12" i="5"/>
  <c r="D12" i="5"/>
  <c r="F11" i="5"/>
  <c r="D11" i="5"/>
  <c r="F10" i="5"/>
  <c r="D10" i="5"/>
  <c r="N9" i="5"/>
  <c r="F9" i="5"/>
  <c r="D9" i="5"/>
  <c r="F8" i="5"/>
  <c r="D8" i="5"/>
  <c r="F7" i="5"/>
  <c r="D7" i="5"/>
  <c r="F6" i="5"/>
  <c r="D6" i="5"/>
  <c r="F5" i="5"/>
  <c r="D5" i="5"/>
  <c r="F4" i="5"/>
  <c r="D4" i="5"/>
  <c r="F3" i="5"/>
  <c r="D3" i="5"/>
  <c r="D14" i="7" l="1"/>
  <c r="D16" i="7" s="1"/>
  <c r="F16" i="7" s="1"/>
  <c r="D17" i="7"/>
  <c r="D15" i="7"/>
  <c r="D14" i="5"/>
  <c r="F16" i="5" s="1"/>
  <c r="D15" i="5"/>
  <c r="D17" i="5"/>
</calcChain>
</file>

<file path=xl/sharedStrings.xml><?xml version="1.0" encoding="utf-8"?>
<sst xmlns="http://schemas.openxmlformats.org/spreadsheetml/2006/main" count="163" uniqueCount="75">
  <si>
    <t>v0</t>
    <phoneticPr fontId="1" type="noConversion"/>
  </si>
  <si>
    <r>
      <t>10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（标称）</t>
    </r>
    <phoneticPr fontId="1" type="noConversion"/>
  </si>
  <si>
    <r>
      <t>标准值:(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</si>
  <si>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t>竖着填</t>
    <phoneticPr fontId="1" type="noConversion"/>
  </si>
  <si>
    <t>电流/格</t>
    <phoneticPr fontId="1" type="noConversion"/>
  </si>
  <si>
    <t>电压/格</t>
    <phoneticPr fontId="1" type="noConversion"/>
  </si>
  <si>
    <t xml:space="preserve">  =  (A)</t>
    <phoneticPr fontId="1" type="noConversion"/>
  </si>
  <si>
    <t>电压(V)</t>
    <phoneticPr fontId="1" type="noConversion"/>
  </si>
  <si>
    <t>电流(A)</t>
    <phoneticPr fontId="1" type="noConversion"/>
  </si>
  <si>
    <t>mA表总格数</t>
    <phoneticPr fontId="1" type="noConversion"/>
  </si>
  <si>
    <t>mA表等级</t>
    <phoneticPr fontId="1" type="noConversion"/>
  </si>
  <si>
    <t>mA表量程最大值(mA)</t>
    <phoneticPr fontId="1" type="noConversion"/>
  </si>
  <si>
    <t>V表量程最大值(V)</t>
    <phoneticPr fontId="1" type="noConversion"/>
  </si>
  <si>
    <t>V表等级</t>
    <phoneticPr fontId="1" type="noConversion"/>
  </si>
  <si>
    <t>V表总格数</t>
    <phoneticPr fontId="1" type="noConversion"/>
  </si>
  <si>
    <t>V表额定误差</t>
    <phoneticPr fontId="1" type="noConversion"/>
  </si>
  <si>
    <t>取舍后</t>
    <phoneticPr fontId="1" type="noConversion"/>
  </si>
  <si>
    <t>电流(mA)</t>
    <phoneticPr fontId="1" type="noConversion"/>
  </si>
  <si>
    <t>mA表额定误差</t>
    <phoneticPr fontId="1" type="noConversion"/>
  </si>
  <si>
    <t>第一步：填蓝底内容</t>
    <phoneticPr fontId="1" type="noConversion"/>
  </si>
  <si>
    <t>第二步：填绿底内容</t>
    <phoneticPr fontId="1" type="noConversion"/>
  </si>
  <si>
    <t>←←← 根据多余欠准数字取舍法则保留一位。</t>
    <phoneticPr fontId="1" type="noConversion"/>
  </si>
  <si>
    <t>相对误差</t>
    <phoneticPr fontId="1" type="noConversion"/>
  </si>
  <si>
    <t>k(单位A、V)</t>
    <phoneticPr fontId="1" type="noConversion"/>
  </si>
  <si>
    <t>b(单位A、V)</t>
    <phoneticPr fontId="1" type="noConversion"/>
  </si>
  <si>
    <t>相关系数r(单位A、V)</t>
    <phoneticPr fontId="1" type="noConversion"/>
  </si>
  <si>
    <r>
      <t>R测(</t>
    </r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)</t>
    </r>
    <phoneticPr fontId="1" type="noConversion"/>
  </si>
  <si>
    <t>电压修正</t>
    <phoneticPr fontId="1" type="noConversion"/>
  </si>
  <si>
    <t>电流修正</t>
    <phoneticPr fontId="1" type="noConversion"/>
  </si>
  <si>
    <t xml:space="preserve">        将取舍后的数据填在灰底处。</t>
    <phoneticPr fontId="1" type="noConversion"/>
  </si>
  <si>
    <t>第四步：记录黄底、橙底数据，作表作图</t>
    <phoneticPr fontId="1" type="noConversion"/>
  </si>
  <si>
    <t>改小数位数</t>
    <phoneticPr fontId="1" type="noConversion"/>
  </si>
  <si>
    <t>所有数字的取舍均遵循“四舍六入五成双”，即右图。</t>
    <phoneticPr fontId="1" type="noConversion"/>
  </si>
  <si>
    <t>1000Ω（标称）</t>
    <phoneticPr fontId="1" type="noConversion"/>
  </si>
  <si>
    <t>二极管</t>
    <phoneticPr fontId="1" type="noConversion"/>
  </si>
  <si>
    <t>正向:1,反向:-1</t>
    <phoneticPr fontId="1" type="noConversion"/>
  </si>
  <si>
    <r>
      <rPr>
        <b/>
        <i/>
        <u/>
        <sz val="11"/>
        <color rgb="FFFF0000"/>
        <rFont val="宋体"/>
        <family val="3"/>
        <charset val="134"/>
      </rPr>
      <t xml:space="preserve">正向 </t>
    </r>
    <r>
      <rPr>
        <sz val="11"/>
        <color theme="1"/>
        <rFont val="宋体"/>
        <family val="2"/>
        <charset val="134"/>
      </rPr>
      <t>V表量程最大值(V)</t>
    </r>
    <phoneticPr fontId="1" type="noConversion"/>
  </si>
  <si>
    <r>
      <rPr>
        <b/>
        <i/>
        <u/>
        <sz val="11"/>
        <color rgb="FFFF0000"/>
        <rFont val="宋体"/>
        <family val="3"/>
        <charset val="134"/>
      </rPr>
      <t>正向</t>
    </r>
    <r>
      <rPr>
        <sz val="11"/>
        <color theme="1"/>
        <rFont val="宋体"/>
        <family val="2"/>
        <charset val="134"/>
      </rPr>
      <t xml:space="preserve"> mA表量程最大值(mA)</t>
    </r>
    <phoneticPr fontId="1" type="noConversion"/>
  </si>
  <si>
    <r>
      <rPr>
        <b/>
        <i/>
        <u/>
        <sz val="11"/>
        <color rgb="FFFF0000"/>
        <rFont val="宋体"/>
        <family val="3"/>
        <charset val="134"/>
      </rPr>
      <t>正向</t>
    </r>
    <r>
      <rPr>
        <sz val="11"/>
        <color theme="1"/>
        <rFont val="宋体"/>
        <family val="2"/>
        <charset val="134"/>
      </rPr>
      <t xml:space="preserve"> V表额定误差</t>
    </r>
    <phoneticPr fontId="1" type="noConversion"/>
  </si>
  <si>
    <r>
      <rPr>
        <b/>
        <i/>
        <u/>
        <sz val="11"/>
        <color rgb="FFFF0000"/>
        <rFont val="宋体"/>
        <family val="3"/>
        <charset val="134"/>
      </rPr>
      <t>正向</t>
    </r>
    <r>
      <rPr>
        <sz val="11"/>
        <color theme="1"/>
        <rFont val="宋体"/>
        <family val="2"/>
        <charset val="134"/>
      </rPr>
      <t xml:space="preserve"> mA表额定误差</t>
    </r>
    <phoneticPr fontId="1" type="noConversion"/>
  </si>
  <si>
    <r>
      <rPr>
        <b/>
        <sz val="11"/>
        <color theme="1"/>
        <rFont val="宋体"/>
        <family val="3"/>
        <charset val="134"/>
      </rPr>
      <t>第二步</t>
    </r>
    <r>
      <rPr>
        <sz val="11"/>
        <color theme="1"/>
        <rFont val="宋体"/>
        <family val="2"/>
        <charset val="134"/>
      </rPr>
      <t>：填绿底内容</t>
    </r>
    <r>
      <rPr>
        <b/>
        <u/>
        <sz val="11"/>
        <color rgb="FFFF0000"/>
        <rFont val="宋体"/>
        <family val="3"/>
        <charset val="134"/>
      </rPr>
      <t>（根据多余欠准数字取舍法则保留一位）</t>
    </r>
    <phoneticPr fontId="1" type="noConversion"/>
  </si>
  <si>
    <r>
      <rPr>
        <b/>
        <i/>
        <u/>
        <sz val="11"/>
        <color theme="8" tint="-0.249977111117893"/>
        <rFont val="宋体"/>
        <family val="3"/>
        <charset val="134"/>
      </rPr>
      <t>反向</t>
    </r>
    <r>
      <rPr>
        <b/>
        <i/>
        <u/>
        <sz val="11"/>
        <color rgb="FFFF0000"/>
        <rFont val="宋体"/>
        <family val="3"/>
        <charset val="134"/>
      </rPr>
      <t xml:space="preserve"> </t>
    </r>
    <r>
      <rPr>
        <sz val="11"/>
        <color theme="1"/>
        <rFont val="宋体"/>
        <family val="2"/>
        <charset val="134"/>
      </rPr>
      <t>V表量程最大值(V)</t>
    </r>
    <phoneticPr fontId="1" type="noConversion"/>
  </si>
  <si>
    <r>
      <rPr>
        <b/>
        <i/>
        <u/>
        <sz val="11"/>
        <color theme="8" tint="-0.249977111117893"/>
        <rFont val="宋体"/>
        <family val="3"/>
        <charset val="134"/>
      </rPr>
      <t>反向</t>
    </r>
    <r>
      <rPr>
        <sz val="11"/>
        <color theme="8" tint="-0.249977111117893"/>
        <rFont val="宋体"/>
        <family val="3"/>
        <charset val="134"/>
      </rPr>
      <t xml:space="preserve"> </t>
    </r>
    <r>
      <rPr>
        <sz val="11"/>
        <color theme="1"/>
        <rFont val="宋体"/>
        <family val="2"/>
        <charset val="134"/>
      </rPr>
      <t>mA表量程最大值(mA)</t>
    </r>
    <phoneticPr fontId="1" type="noConversion"/>
  </si>
  <si>
    <r>
      <rPr>
        <b/>
        <i/>
        <u/>
        <sz val="11"/>
        <color theme="8" tint="-0.249977111117893"/>
        <rFont val="宋体"/>
        <family val="3"/>
        <charset val="134"/>
      </rPr>
      <t>反向</t>
    </r>
    <r>
      <rPr>
        <sz val="11"/>
        <color theme="1"/>
        <rFont val="宋体"/>
        <family val="2"/>
        <charset val="134"/>
      </rPr>
      <t xml:space="preserve"> V表额定误差</t>
    </r>
    <phoneticPr fontId="1" type="noConversion"/>
  </si>
  <si>
    <r>
      <rPr>
        <b/>
        <i/>
        <u/>
        <sz val="11"/>
        <color theme="8" tint="-0.249977111117893"/>
        <rFont val="宋体"/>
        <family val="3"/>
        <charset val="134"/>
      </rPr>
      <t>反向</t>
    </r>
    <r>
      <rPr>
        <sz val="11"/>
        <color theme="1"/>
        <rFont val="宋体"/>
        <family val="2"/>
        <charset val="134"/>
      </rPr>
      <t xml:space="preserve"> mA表额定误差</t>
    </r>
    <phoneticPr fontId="1" type="noConversion"/>
  </si>
  <si>
    <t>mA</t>
    <phoneticPr fontId="1" type="noConversion"/>
  </si>
  <si>
    <t>V</t>
    <phoneticPr fontId="1" type="noConversion"/>
  </si>
  <si>
    <r>
      <t>所有数字的取舍均遵循</t>
    </r>
    <r>
      <rPr>
        <b/>
        <u/>
        <sz val="11"/>
        <color theme="5"/>
        <rFont val="宋体"/>
        <family val="3"/>
        <charset val="134"/>
      </rPr>
      <t>“四舍六入五成双”</t>
    </r>
    <r>
      <rPr>
        <sz val="11"/>
        <color theme="1"/>
        <rFont val="宋体"/>
        <family val="2"/>
        <charset val="134"/>
      </rPr>
      <t>，见前sheet。</t>
    </r>
    <phoneticPr fontId="1" type="noConversion"/>
  </si>
  <si>
    <t>本列带上正负</t>
    <phoneticPr fontId="1" type="noConversion"/>
  </si>
  <si>
    <r>
      <rPr>
        <b/>
        <sz val="11"/>
        <color theme="1"/>
        <rFont val="宋体"/>
        <family val="3"/>
        <charset val="134"/>
      </rPr>
      <t>第三步</t>
    </r>
    <r>
      <rPr>
        <sz val="11"/>
        <color theme="1"/>
        <rFont val="宋体"/>
        <family val="2"/>
        <charset val="134"/>
      </rPr>
      <t>：修正黄底数据并制表，</t>
    </r>
    <r>
      <rPr>
        <b/>
        <u/>
        <sz val="11"/>
        <color rgb="FFFF0000"/>
        <rFont val="宋体"/>
        <family val="3"/>
        <charset val="134"/>
      </rPr>
      <t>注意测量结果尾数与对应绿底数字对齐</t>
    </r>
    <phoneticPr fontId="1" type="noConversion"/>
  </si>
  <si>
    <t>修正</t>
    <phoneticPr fontId="1" type="noConversion"/>
  </si>
  <si>
    <t>左表填完排序！</t>
    <phoneticPr fontId="1" type="noConversion"/>
  </si>
  <si>
    <t>(可以用mA/V转化为A/V，mA/V的k要大1000倍)</t>
    <phoneticPr fontId="1" type="noConversion"/>
  </si>
  <si>
    <t>制作:</t>
    <phoneticPr fontId="12" type="noConversion"/>
  </si>
  <si>
    <t>机械学院 24级 momooo</t>
    <phoneticPr fontId="1" type="noConversion"/>
  </si>
  <si>
    <t>Last Updated:</t>
  </si>
  <si>
    <r>
      <t>第三步：</t>
    </r>
    <r>
      <rPr>
        <b/>
        <u/>
        <sz val="11"/>
        <color rgb="FFFF0000"/>
        <rFont val="宋体"/>
        <family val="3"/>
        <charset val="134"/>
      </rPr>
      <t>修正黄底数据</t>
    </r>
    <r>
      <rPr>
        <sz val="11"/>
        <color theme="1"/>
        <rFont val="宋体"/>
        <family val="2"/>
        <charset val="134"/>
      </rPr>
      <t>并制表，</t>
    </r>
    <r>
      <rPr>
        <b/>
        <u/>
        <sz val="11"/>
        <color rgb="FFFF0000"/>
        <rFont val="宋体"/>
        <family val="3"/>
        <charset val="134"/>
      </rPr>
      <t>注意测量结果尾数与对应绿底数字对齐</t>
    </r>
    <phoneticPr fontId="1" type="noConversion"/>
  </si>
  <si>
    <t>2025.4.19  11:28</t>
    <phoneticPr fontId="12" type="noConversion"/>
  </si>
  <si>
    <r>
      <t>第三步：</t>
    </r>
    <r>
      <rPr>
        <b/>
        <sz val="11"/>
        <color rgb="FFFF0000"/>
        <rFont val="宋体"/>
        <family val="3"/>
        <charset val="134"/>
      </rPr>
      <t>修正黄底数据</t>
    </r>
    <r>
      <rPr>
        <sz val="11"/>
        <color theme="1"/>
        <rFont val="宋体"/>
        <family val="2"/>
        <charset val="134"/>
      </rPr>
      <t>并制表，</t>
    </r>
    <r>
      <rPr>
        <b/>
        <u/>
        <sz val="11"/>
        <color rgb="FFFF0000"/>
        <rFont val="宋体"/>
        <family val="3"/>
        <charset val="134"/>
      </rPr>
      <t>注意测量结果尾数与对应绿底数字对齐</t>
    </r>
    <phoneticPr fontId="1" type="noConversion"/>
  </si>
  <si>
    <r>
      <rPr>
        <b/>
        <sz val="11"/>
        <color theme="1"/>
        <rFont val="宋体"/>
        <family val="3"/>
        <charset val="134"/>
      </rPr>
      <t>第四步</t>
    </r>
    <r>
      <rPr>
        <sz val="11"/>
        <color theme="1"/>
        <rFont val="宋体"/>
        <family val="2"/>
        <charset val="134"/>
      </rPr>
      <t>：记录黄底数据，作表作图</t>
    </r>
    <phoneticPr fontId="1" type="noConversion"/>
  </si>
  <si>
    <t>抄表的时候不带</t>
    <phoneticPr fontId="1" type="noConversion"/>
  </si>
  <si>
    <r>
      <rPr>
        <b/>
        <sz val="11"/>
        <color theme="1"/>
        <rFont val="宋体"/>
        <family val="3"/>
        <charset val="134"/>
      </rPr>
      <t>第一步</t>
    </r>
    <r>
      <rPr>
        <sz val="11"/>
        <color theme="1"/>
        <rFont val="宋体"/>
        <family val="2"/>
        <charset val="134"/>
      </rPr>
      <t>：填蓝底内容</t>
    </r>
    <r>
      <rPr>
        <b/>
        <i/>
        <u/>
        <sz val="11"/>
        <color rgb="FFFF0000"/>
        <rFont val="宋体"/>
        <family val="3"/>
        <charset val="134"/>
      </rPr>
      <t>（正负看深蓝底白字部分，注意对照！）</t>
    </r>
    <phoneticPr fontId="1" type="noConversion"/>
  </si>
  <si>
    <t>反向</t>
    <phoneticPr fontId="1" type="noConversion"/>
  </si>
  <si>
    <t>正向</t>
    <phoneticPr fontId="1" type="noConversion"/>
  </si>
  <si>
    <t>（按电压）</t>
    <phoneticPr fontId="1" type="noConversion"/>
  </si>
  <si>
    <t>T/℃</t>
    <phoneticPr fontId="1" type="noConversion"/>
  </si>
  <si>
    <t>U/V</t>
    <phoneticPr fontId="1" type="noConversion"/>
  </si>
  <si>
    <t>k</t>
    <phoneticPr fontId="1" type="noConversion"/>
  </si>
  <si>
    <t>r</t>
    <phoneticPr fontId="1" type="noConversion"/>
  </si>
  <si>
    <t>b</t>
    <phoneticPr fontId="1" type="noConversion"/>
  </si>
  <si>
    <t>T/K</t>
    <phoneticPr fontId="1" type="noConversion"/>
  </si>
  <si>
    <t>V/K</t>
    <phoneticPr fontId="1" type="noConversion"/>
  </si>
  <si>
    <t>Eg0标准</t>
    <phoneticPr fontId="1" type="noConversion"/>
  </si>
  <si>
    <t>eV</t>
    <phoneticPr fontId="1" type="noConversion"/>
  </si>
  <si>
    <t>Eg0测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</si>
</sst>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0.000"/>
  </numFmts>
  <fonts count="19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34"/>
    </font>
    <font>
      <b/>
      <u/>
      <sz val="11"/>
      <color rgb="FFFF0000"/>
      <name val="宋体"/>
      <family val="3"/>
      <charset val="134"/>
    </font>
    <font>
      <b/>
      <i/>
      <u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i/>
      <u/>
      <sz val="11"/>
      <color theme="8" tint="-0.249977111117893"/>
      <name val="宋体"/>
      <family val="3"/>
      <charset val="134"/>
    </font>
    <font>
      <sz val="11"/>
      <color theme="8" tint="-0.249977111117893"/>
      <name val="宋体"/>
      <family val="3"/>
      <charset val="134"/>
    </font>
    <font>
      <b/>
      <u/>
      <sz val="11"/>
      <color theme="5"/>
      <name val="宋体"/>
      <family val="3"/>
      <charset val="134"/>
    </font>
    <font>
      <b/>
      <sz val="18"/>
      <color rgb="FFFFFF0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2"/>
      <charset val="134"/>
    </font>
    <font>
      <sz val="11"/>
      <color theme="0"/>
      <name val="宋体"/>
      <family val="2"/>
      <charset val="134"/>
    </font>
    <font>
      <sz val="11"/>
      <color rgb="FF00B0F0"/>
      <name val="宋体"/>
      <family val="2"/>
      <charset val="134"/>
    </font>
    <font>
      <b/>
      <sz val="11"/>
      <color rgb="FF00B0F0"/>
      <name val="宋体"/>
      <family val="3"/>
      <charset val="134"/>
    </font>
    <font>
      <sz val="11"/>
      <color rgb="FF00B0F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2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6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>
      <alignment vertical="center"/>
    </xf>
    <xf numFmtId="2" fontId="0" fillId="3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0" borderId="5" xfId="0" applyBorder="1">
      <alignment vertical="center"/>
    </xf>
    <xf numFmtId="10" fontId="0" fillId="5" borderId="1" xfId="1" applyNumberFormat="1" applyFont="1" applyFill="1" applyBorder="1" applyAlignment="1">
      <alignment horizontal="right" vertical="center"/>
    </xf>
    <xf numFmtId="0" fontId="0" fillId="5" borderId="5" xfId="0" applyFill="1" applyBorder="1">
      <alignment vertical="center"/>
    </xf>
    <xf numFmtId="0" fontId="0" fillId="0" borderId="0" xfId="0" applyAlignment="1">
      <alignment horizontal="center" vertical="center"/>
    </xf>
    <xf numFmtId="176" fontId="0" fillId="3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177" fontId="0" fillId="0" borderId="1" xfId="0" applyNumberFormat="1" applyBorder="1">
      <alignment vertical="center"/>
    </xf>
    <xf numFmtId="0" fontId="0" fillId="0" borderId="0" xfId="0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3" borderId="11" xfId="0" applyFill="1" applyBorder="1">
      <alignment vertical="center"/>
    </xf>
    <xf numFmtId="0" fontId="0" fillId="0" borderId="3" xfId="0" applyBorder="1">
      <alignment vertical="center"/>
    </xf>
    <xf numFmtId="0" fontId="6" fillId="0" borderId="7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2" xfId="0" applyFont="1" applyBorder="1">
      <alignment vertical="center"/>
    </xf>
    <xf numFmtId="2" fontId="7" fillId="3" borderId="1" xfId="0" applyNumberFormat="1" applyFont="1" applyFill="1" applyBorder="1">
      <alignment vertical="center"/>
    </xf>
    <xf numFmtId="0" fontId="0" fillId="0" borderId="7" xfId="0" applyBorder="1">
      <alignment vertical="center"/>
    </xf>
    <xf numFmtId="0" fontId="6" fillId="0" borderId="8" xfId="0" applyFont="1" applyBorder="1" applyAlignment="1">
      <alignment horizontal="right"/>
    </xf>
    <xf numFmtId="0" fontId="6" fillId="0" borderId="6" xfId="0" applyFont="1" applyBorder="1" applyAlignment="1">
      <alignment horizontal="right" vertical="center"/>
    </xf>
    <xf numFmtId="0" fontId="15" fillId="8" borderId="1" xfId="0" applyFont="1" applyFill="1" applyBorder="1">
      <alignment vertical="center"/>
    </xf>
    <xf numFmtId="0" fontId="0" fillId="9" borderId="8" xfId="0" applyFill="1" applyBorder="1">
      <alignment vertical="center"/>
    </xf>
    <xf numFmtId="0" fontId="17" fillId="6" borderId="1" xfId="0" applyFont="1" applyFill="1" applyBorder="1">
      <alignment vertical="center"/>
    </xf>
    <xf numFmtId="0" fontId="13" fillId="6" borderId="1" xfId="0" applyFont="1" applyFill="1" applyBorder="1">
      <alignment vertical="center"/>
    </xf>
    <xf numFmtId="0" fontId="13" fillId="0" borderId="0" xfId="0" applyFont="1">
      <alignment vertical="center"/>
    </xf>
    <xf numFmtId="0" fontId="17" fillId="0" borderId="0" xfId="0" applyFont="1">
      <alignment vertical="center"/>
    </xf>
    <xf numFmtId="178" fontId="14" fillId="3" borderId="1" xfId="0" applyNumberFormat="1" applyFont="1" applyFill="1" applyBorder="1">
      <alignment vertical="center"/>
    </xf>
    <xf numFmtId="2" fontId="14" fillId="3" borderId="1" xfId="0" applyNumberFormat="1" applyFont="1" applyFill="1" applyBorder="1">
      <alignment vertical="center"/>
    </xf>
    <xf numFmtId="2" fontId="18" fillId="3" borderId="1" xfId="0" applyNumberFormat="1" applyFont="1" applyFill="1" applyBorder="1">
      <alignment vertical="center"/>
    </xf>
    <xf numFmtId="2" fontId="16" fillId="3" borderId="1" xfId="0" applyNumberFormat="1" applyFont="1" applyFill="1" applyBorder="1">
      <alignment vertical="center"/>
    </xf>
    <xf numFmtId="0" fontId="7" fillId="0" borderId="0" xfId="0" applyFont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11" fontId="0" fillId="0" borderId="0" xfId="0" applyNumberFormat="1">
      <alignment vertical="center"/>
    </xf>
    <xf numFmtId="1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I(mA)-U(V)</a:t>
            </a:r>
            <a:r>
              <a:rPr lang="zh-CN" altLang="en-US"/>
              <a:t>图</a:t>
            </a:r>
            <a:endParaRPr lang="de-DE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'10Ω'!$G$2</c:f>
              <c:strCache>
                <c:ptCount val="1"/>
                <c:pt idx="0">
                  <c:v>电流修正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'10Ω'!$D$3:$D$12</c:f>
              <c:numCache>
                <c:formatCode>General</c:formatCode>
                <c:ptCount val="10"/>
                <c:pt idx="0">
                  <c:v>0.114</c:v>
                </c:pt>
                <c:pt idx="1">
                  <c:v>0.19500000000000001</c:v>
                </c:pt>
                <c:pt idx="2">
                  <c:v>0.28500000000000003</c:v>
                </c:pt>
                <c:pt idx="3">
                  <c:v>0.38900000000000001</c:v>
                </c:pt>
                <c:pt idx="4">
                  <c:v>0.49299999999999999</c:v>
                </c:pt>
                <c:pt idx="5">
                  <c:v>0.59100000000000008</c:v>
                </c:pt>
                <c:pt idx="6">
                  <c:v>0.68200000000000005</c:v>
                </c:pt>
                <c:pt idx="7">
                  <c:v>0.76900000000000013</c:v>
                </c:pt>
                <c:pt idx="8">
                  <c:v>0.89100000000000001</c:v>
                </c:pt>
                <c:pt idx="9">
                  <c:v>0.95500000000000007</c:v>
                </c:pt>
              </c:numCache>
            </c:numRef>
          </c:xVal>
          <c:yVal>
            <c:numRef>
              <c:f>'10Ω'!$G$3:$G$12</c:f>
              <c:numCache>
                <c:formatCode>0.0</c:formatCode>
                <c:ptCount val="10"/>
                <c:pt idx="0">
                  <c:v>10.3</c:v>
                </c:pt>
                <c:pt idx="1">
                  <c:v>20.9</c:v>
                </c:pt>
                <c:pt idx="2">
                  <c:v>31</c:v>
                </c:pt>
                <c:pt idx="3">
                  <c:v>41.8</c:v>
                </c:pt>
                <c:pt idx="4">
                  <c:v>53.5</c:v>
                </c:pt>
                <c:pt idx="5">
                  <c:v>64</c:v>
                </c:pt>
                <c:pt idx="6">
                  <c:v>73.900000000000006</c:v>
                </c:pt>
                <c:pt idx="7">
                  <c:v>83</c:v>
                </c:pt>
                <c:pt idx="8">
                  <c:v>95.5</c:v>
                </c:pt>
                <c:pt idx="9">
                  <c:v>102.5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1C-467C-BA3F-04F542C8A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034432"/>
        <c:axId val="1516034912"/>
      </c:scatterChart>
      <c:valAx>
        <c:axId val="151603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034912"/>
        <c:crosses val="autoZero"/>
        <c:crossBetween val="midCat"/>
      </c:valAx>
      <c:valAx>
        <c:axId val="15160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03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I(mA)-U(V)</a:t>
            </a:r>
            <a:r>
              <a:rPr lang="zh-CN" altLang="en-US"/>
              <a:t>图</a:t>
            </a:r>
            <a:endParaRPr lang="de-DE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'1000Ω新'!$G$2</c:f>
              <c:strCache>
                <c:ptCount val="1"/>
                <c:pt idx="0">
                  <c:v>电流修正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'1000Ω新'!$D$3:$D$12</c:f>
              <c:numCache>
                <c:formatCode>General</c:formatCode>
                <c:ptCount val="10"/>
                <c:pt idx="0">
                  <c:v>0.71</c:v>
                </c:pt>
                <c:pt idx="1">
                  <c:v>1.35</c:v>
                </c:pt>
                <c:pt idx="2">
                  <c:v>1.9300000000000002</c:v>
                </c:pt>
                <c:pt idx="3">
                  <c:v>2.67</c:v>
                </c:pt>
                <c:pt idx="4">
                  <c:v>3.49</c:v>
                </c:pt>
                <c:pt idx="5">
                  <c:v>4.1900000000000004</c:v>
                </c:pt>
                <c:pt idx="6">
                  <c:v>4.8500000000000005</c:v>
                </c:pt>
                <c:pt idx="7">
                  <c:v>5.61</c:v>
                </c:pt>
                <c:pt idx="8">
                  <c:v>6.3000000000000007</c:v>
                </c:pt>
                <c:pt idx="9">
                  <c:v>7</c:v>
                </c:pt>
              </c:numCache>
            </c:numRef>
          </c:xVal>
          <c:yVal>
            <c:numRef>
              <c:f>'1000Ω新'!$G$3:$G$12</c:f>
              <c:numCache>
                <c:formatCode>0.00</c:formatCode>
                <c:ptCount val="10"/>
                <c:pt idx="0">
                  <c:v>0.68</c:v>
                </c:pt>
                <c:pt idx="1">
                  <c:v>1.3900000000000001</c:v>
                </c:pt>
                <c:pt idx="2">
                  <c:v>2</c:v>
                </c:pt>
                <c:pt idx="3">
                  <c:v>2.74</c:v>
                </c:pt>
                <c:pt idx="4">
                  <c:v>3.5750000000000002</c:v>
                </c:pt>
                <c:pt idx="5">
                  <c:v>4.3</c:v>
                </c:pt>
                <c:pt idx="6">
                  <c:v>4.9800000000000004</c:v>
                </c:pt>
                <c:pt idx="7">
                  <c:v>5.74</c:v>
                </c:pt>
                <c:pt idx="8">
                  <c:v>6.4400000000000013</c:v>
                </c:pt>
                <c:pt idx="9">
                  <c:v>7.15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27-46C2-9573-B9D718839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034432"/>
        <c:axId val="1516034912"/>
      </c:scatterChart>
      <c:valAx>
        <c:axId val="151603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034912"/>
        <c:crosses val="autoZero"/>
        <c:crossBetween val="midCat"/>
      </c:valAx>
      <c:valAx>
        <c:axId val="15160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03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I(mA)-U(V)</a:t>
            </a:r>
            <a:r>
              <a:rPr lang="zh-CN" altLang="en-US"/>
              <a:t>图</a:t>
            </a:r>
            <a:endParaRPr lang="de-DE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'二极管新 (2)'!$H$2</c:f>
              <c:strCache>
                <c:ptCount val="1"/>
                <c:pt idx="0">
                  <c:v>电流修正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'二极管新 (2)'!$F$3:$F$22</c:f>
              <c:numCache>
                <c:formatCode>0.00</c:formatCode>
                <c:ptCount val="20"/>
                <c:pt idx="0">
                  <c:v>-5.120000000000001</c:v>
                </c:pt>
                <c:pt idx="1">
                  <c:v>-5.1100000000000003</c:v>
                </c:pt>
                <c:pt idx="2">
                  <c:v>-5.09</c:v>
                </c:pt>
                <c:pt idx="3">
                  <c:v>-5.07</c:v>
                </c:pt>
                <c:pt idx="4">
                  <c:v>-5</c:v>
                </c:pt>
                <c:pt idx="5">
                  <c:v>-4.5100000000000007</c:v>
                </c:pt>
                <c:pt idx="6">
                  <c:v>-4.38</c:v>
                </c:pt>
                <c:pt idx="7">
                  <c:v>-4.25</c:v>
                </c:pt>
                <c:pt idx="8">
                  <c:v>-3.9600000000000004</c:v>
                </c:pt>
                <c:pt idx="9">
                  <c:v>-1.9500000000000002</c:v>
                </c:pt>
                <c:pt idx="10" formatCode="0.000">
                  <c:v>0.16399999999999998</c:v>
                </c:pt>
                <c:pt idx="11" formatCode="0.000">
                  <c:v>0.308</c:v>
                </c:pt>
                <c:pt idx="12" formatCode="0.000">
                  <c:v>0.42899999999999999</c:v>
                </c:pt>
                <c:pt idx="13" formatCode="0.000">
                  <c:v>0.55500000000000005</c:v>
                </c:pt>
                <c:pt idx="14" formatCode="0.000">
                  <c:v>0.71499999999999997</c:v>
                </c:pt>
                <c:pt idx="15" formatCode="0.000">
                  <c:v>0.74</c:v>
                </c:pt>
                <c:pt idx="16" formatCode="0.000">
                  <c:v>0.755</c:v>
                </c:pt>
                <c:pt idx="17" formatCode="0.000">
                  <c:v>0.76900000000000013</c:v>
                </c:pt>
                <c:pt idx="18" formatCode="0.000">
                  <c:v>0.78</c:v>
                </c:pt>
                <c:pt idx="19" formatCode="0.000">
                  <c:v>0.78800000000000003</c:v>
                </c:pt>
              </c:numCache>
            </c:numRef>
          </c:xVal>
          <c:yVal>
            <c:numRef>
              <c:f>'二极管新 (2)'!$H$3:$H$22</c:f>
              <c:numCache>
                <c:formatCode>0.00</c:formatCode>
                <c:ptCount val="20"/>
                <c:pt idx="0">
                  <c:v>-6.75</c:v>
                </c:pt>
                <c:pt idx="1">
                  <c:v>-5.69</c:v>
                </c:pt>
                <c:pt idx="2">
                  <c:v>-4.22</c:v>
                </c:pt>
                <c:pt idx="3">
                  <c:v>-3.24</c:v>
                </c:pt>
                <c:pt idx="4">
                  <c:v>-1.69</c:v>
                </c:pt>
                <c:pt idx="5">
                  <c:v>-0.12</c:v>
                </c:pt>
                <c:pt idx="6">
                  <c:v>-0.08</c:v>
                </c:pt>
                <c:pt idx="7">
                  <c:v>-0.04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0.25</c:v>
                </c:pt>
                <c:pt idx="12">
                  <c:v>0.39</c:v>
                </c:pt>
                <c:pt idx="13">
                  <c:v>0.5</c:v>
                </c:pt>
                <c:pt idx="14">
                  <c:v>1.2000000000000002</c:v>
                </c:pt>
                <c:pt idx="15">
                  <c:v>2.8000000000000003</c:v>
                </c:pt>
                <c:pt idx="16">
                  <c:v>4.45</c:v>
                </c:pt>
                <c:pt idx="17">
                  <c:v>7.45</c:v>
                </c:pt>
                <c:pt idx="18">
                  <c:v>10.9</c:v>
                </c:pt>
                <c:pt idx="19">
                  <c:v>14.100000000000001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BE-4355-9856-9558869A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6034432"/>
        <c:axId val="1516034912"/>
      </c:scatterChart>
      <c:valAx>
        <c:axId val="151603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034912"/>
        <c:crosses val="autoZero"/>
        <c:crossBetween val="midCat"/>
      </c:valAx>
      <c:valAx>
        <c:axId val="15160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603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PN结1!$C$1</c:f>
              <c:strCache>
                <c:ptCount val="1"/>
                <c:pt idx="0">
                  <c:v>U/V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827209098862641E-2"/>
                  <c:y val="-0.57049358413531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PN结1!$B$2:$B$6</c:f>
              <c:numCache>
                <c:formatCode>General</c:formatCode>
                <c:ptCount val="5"/>
                <c:pt idx="0">
                  <c:v>296.95</c:v>
                </c:pt>
                <c:pt idx="1">
                  <c:v>302.64999999999998</c:v>
                </c:pt>
                <c:pt idx="2">
                  <c:v>305.75</c:v>
                </c:pt>
                <c:pt idx="3">
                  <c:v>309.64999999999998</c:v>
                </c:pt>
                <c:pt idx="4">
                  <c:v>313.14999999999998</c:v>
                </c:pt>
              </c:numCache>
            </c:numRef>
          </c:xVal>
          <c:yVal>
            <c:numRef>
              <c:f>PN结1!$C$2:$C$6</c:f>
              <c:numCache>
                <c:formatCode>General</c:formatCode>
                <c:ptCount val="5"/>
                <c:pt idx="0">
                  <c:v>0.56499999999999995</c:v>
                </c:pt>
                <c:pt idx="1">
                  <c:v>0.55300000000000005</c:v>
                </c:pt>
                <c:pt idx="2">
                  <c:v>0.54600000000000004</c:v>
                </c:pt>
                <c:pt idx="3">
                  <c:v>0.53800000000000003</c:v>
                </c:pt>
                <c:pt idx="4">
                  <c:v>0.52800000000000002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F-4C4F-BFB6-B91C6488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477535"/>
        <c:axId val="1877478015"/>
      </c:scatterChart>
      <c:valAx>
        <c:axId val="187747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7478015"/>
        <c:crosses val="autoZero"/>
        <c:crossBetween val="midCat"/>
      </c:valAx>
      <c:valAx>
        <c:axId val="187747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747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359727</xdr:colOff>
      <xdr:row>0</xdr:row>
      <xdr:rowOff>177450</xdr:rowOff>
    </xdr:from>
    <xdr:to>
      <xdr:col>23</xdr:col>
      <xdr:colOff>52292</xdr:colOff>
      <xdr:row>15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5B804F5-F610-4360-8421-6F04A7E6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5287" y="177450"/>
          <a:ext cx="3479705" cy="2680050"/>
        </a:xfrm>
        <a:prstGeom prst="rect">
          <a:avLst/>
        </a:prstGeom>
      </xdr:spPr>
    </xdr:pic>
    <xdr:clientData/>
  </xdr:twoCellAnchor>
  <xdr:twoCellAnchor editAs="oneCell">
    <xdr:from>
      <xdr:col>16</xdr:col>
      <xdr:colOff>352808</xdr:colOff>
      <xdr:row>17</xdr:row>
      <xdr:rowOff>7621</xdr:rowOff>
    </xdr:from>
    <xdr:to>
      <xdr:col>23</xdr:col>
      <xdr:colOff>42611</xdr:colOff>
      <xdr:row>19</xdr:row>
      <xdr:rowOff>30481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F7FB10E-BCDB-42E0-A809-A0809E69F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8368" y="3116581"/>
          <a:ext cx="3476943" cy="388620"/>
        </a:xfrm>
        <a:prstGeom prst="rect">
          <a:avLst/>
        </a:prstGeom>
      </xdr:spPr>
    </xdr:pic>
    <xdr:clientData/>
  </xdr:twoCellAnchor>
  <xdr:twoCellAnchor>
    <xdr:from>
      <xdr:col>0</xdr:col>
      <xdr:colOff>224790</xdr:colOff>
      <xdr:row>18</xdr:row>
      <xdr:rowOff>99060</xdr:rowOff>
    </xdr:from>
    <xdr:to>
      <xdr:col>8</xdr:col>
      <xdr:colOff>236220</xdr:colOff>
      <xdr:row>30</xdr:row>
      <xdr:rowOff>83820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E9CB854-D880-46A4-AE9C-548E09BC2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458787</xdr:colOff>
      <xdr:row>0</xdr:row>
      <xdr:rowOff>177450</xdr:rowOff>
    </xdr:from>
    <xdr:to>
      <xdr:col>22</xdr:col>
      <xdr:colOff>280892</xdr:colOff>
      <xdr:row>15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CD8BD4D-6E45-4B37-9DEF-19BB05692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5287" y="177450"/>
          <a:ext cx="3479705" cy="2680050"/>
        </a:xfrm>
        <a:prstGeom prst="rect">
          <a:avLst/>
        </a:prstGeom>
      </xdr:spPr>
    </xdr:pic>
    <xdr:clientData/>
  </xdr:twoCellAnchor>
  <xdr:twoCellAnchor editAs="oneCell">
    <xdr:from>
      <xdr:col>16</xdr:col>
      <xdr:colOff>451868</xdr:colOff>
      <xdr:row>17</xdr:row>
      <xdr:rowOff>7621</xdr:rowOff>
    </xdr:from>
    <xdr:to>
      <xdr:col>22</xdr:col>
      <xdr:colOff>271211</xdr:colOff>
      <xdr:row>19</xdr:row>
      <xdr:rowOff>30481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7CDD048-DEDE-48C3-8398-CEE18D2A7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8368" y="3116581"/>
          <a:ext cx="3476943" cy="388620"/>
        </a:xfrm>
        <a:prstGeom prst="rect">
          <a:avLst/>
        </a:prstGeom>
      </xdr:spPr>
    </xdr:pic>
    <xdr:clientData/>
  </xdr:twoCellAnchor>
  <xdr:twoCellAnchor>
    <xdr:from>
      <xdr:col>0</xdr:col>
      <xdr:colOff>224790</xdr:colOff>
      <xdr:row>18</xdr:row>
      <xdr:rowOff>99060</xdr:rowOff>
    </xdr:from>
    <xdr:to>
      <xdr:col>8</xdr:col>
      <xdr:colOff>236220</xdr:colOff>
      <xdr:row>30</xdr:row>
      <xdr:rowOff>83820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42E254F-E2E3-41B8-A5CB-4232C60BD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14</xdr:row>
      <xdr:rowOff>175260</xdr:rowOff>
    </xdr:from>
    <xdr:to>
      <xdr:col>19</xdr:col>
      <xdr:colOff>30480</xdr:colOff>
      <xdr:row>29</xdr:row>
      <xdr:rowOff>137160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B07E2CC-B1E3-40BB-B247-37F50EB8D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80010</xdr:colOff>
      <xdr:row>4</xdr:row>
      <xdr:rowOff>22860</xdr:rowOff>
    </xdr:from>
    <xdr:to>
      <xdr:col>15</xdr:col>
      <xdr:colOff>384810</xdr:colOff>
      <xdr:row>19</xdr:row>
      <xdr:rowOff>22860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6E7A20A-E3A4-3513-58FB-EB9FDC291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A9CC-709E-4108-A639-8C39794C1FF0}">
  <dimension ref="A1:V28"/>
  <sheetViews>
    <sheetView workbookViewId="0">
      <selection activeCell="D16" sqref="D16"/>
    </sheetView>
  </sheetViews>
  <sheetFormatPr defaultRowHeight="14.4" x14ac:dyDescent="0.25"/>
  <cols>
    <col min="3" max="3" width="12" customWidth="1"/>
    <col min="10" max="10" width="10.77734375" customWidth="1"/>
    <col min="16" max="16" width="10.33203125" customWidth="1"/>
    <col min="17" max="17" width="9.109375" customWidth="1"/>
    <col min="18" max="18" width="5.77734375" customWidth="1"/>
    <col min="22" max="22" width="4.77734375" customWidth="1"/>
  </cols>
  <sheetData>
    <row r="1" spans="1:16" x14ac:dyDescent="0.25">
      <c r="A1" t="s">
        <v>0</v>
      </c>
      <c r="B1" t="s">
        <v>1</v>
      </c>
      <c r="E1" s="17" t="s">
        <v>31</v>
      </c>
      <c r="G1" s="17" t="s">
        <v>31</v>
      </c>
    </row>
    <row r="2" spans="1:16" x14ac:dyDescent="0.25">
      <c r="A2" s="1" t="s">
        <v>5</v>
      </c>
      <c r="B2" s="1" t="s">
        <v>4</v>
      </c>
      <c r="D2" s="1" t="s">
        <v>7</v>
      </c>
      <c r="E2" s="1" t="s">
        <v>27</v>
      </c>
      <c r="F2" s="1" t="s">
        <v>17</v>
      </c>
      <c r="G2" s="1" t="s">
        <v>28</v>
      </c>
      <c r="H2" s="1" t="s">
        <v>8</v>
      </c>
      <c r="J2" s="6"/>
      <c r="K2" s="7" t="s">
        <v>2</v>
      </c>
      <c r="L2" s="9">
        <v>9.9</v>
      </c>
    </row>
    <row r="3" spans="1:16" x14ac:dyDescent="0.25">
      <c r="A3" s="2">
        <v>11.4</v>
      </c>
      <c r="B3" s="2">
        <v>10.3</v>
      </c>
      <c r="D3" s="19">
        <f>$L$5/$L$6*A3</f>
        <v>0.114</v>
      </c>
      <c r="E3" s="11">
        <v>0.114</v>
      </c>
      <c r="F3" s="19">
        <f>$L$9/$L$10*B3</f>
        <v>10.3</v>
      </c>
      <c r="G3" s="18">
        <v>10.3</v>
      </c>
      <c r="H3" s="20">
        <f>G3/1000</f>
        <v>1.03E-2</v>
      </c>
    </row>
    <row r="4" spans="1:16" x14ac:dyDescent="0.25">
      <c r="A4" s="2">
        <v>19.5</v>
      </c>
      <c r="B4" s="2">
        <v>20.9</v>
      </c>
      <c r="D4" s="19">
        <f t="shared" ref="D4:D12" si="0">$L$5/$L$6*A4</f>
        <v>0.19500000000000001</v>
      </c>
      <c r="E4" s="11">
        <v>0.19500000000000001</v>
      </c>
      <c r="F4" s="19">
        <f t="shared" ref="F4:F12" si="1">$L$9/$L$10*B4</f>
        <v>20.9</v>
      </c>
      <c r="G4" s="18">
        <v>20.9</v>
      </c>
      <c r="H4" s="20">
        <f t="shared" ref="H4:H12" si="2">G4/1000</f>
        <v>2.0899999999999998E-2</v>
      </c>
      <c r="J4" s="6"/>
      <c r="K4" s="7" t="s">
        <v>13</v>
      </c>
      <c r="L4" s="9">
        <v>0.5</v>
      </c>
    </row>
    <row r="5" spans="1:16" x14ac:dyDescent="0.25">
      <c r="A5" s="2">
        <v>28.5</v>
      </c>
      <c r="B5" s="2">
        <v>31</v>
      </c>
      <c r="D5" s="19">
        <f t="shared" si="0"/>
        <v>0.28500000000000003</v>
      </c>
      <c r="E5" s="11">
        <v>0.28500000000000003</v>
      </c>
      <c r="F5" s="19">
        <f t="shared" si="1"/>
        <v>31</v>
      </c>
      <c r="G5" s="18">
        <v>31</v>
      </c>
      <c r="H5" s="20">
        <f t="shared" si="2"/>
        <v>3.1E-2</v>
      </c>
      <c r="J5" s="6"/>
      <c r="K5" s="7" t="s">
        <v>12</v>
      </c>
      <c r="L5" s="9">
        <v>1</v>
      </c>
      <c r="P5" t="s">
        <v>3</v>
      </c>
    </row>
    <row r="6" spans="1:16" x14ac:dyDescent="0.25">
      <c r="A6" s="2">
        <v>38.9</v>
      </c>
      <c r="B6" s="2">
        <v>41.8</v>
      </c>
      <c r="D6" s="19">
        <f t="shared" si="0"/>
        <v>0.38900000000000001</v>
      </c>
      <c r="E6" s="11">
        <v>0.38900000000000001</v>
      </c>
      <c r="F6" s="19">
        <f t="shared" si="1"/>
        <v>41.8</v>
      </c>
      <c r="G6" s="18">
        <v>41.8</v>
      </c>
      <c r="H6" s="20">
        <f t="shared" si="2"/>
        <v>4.1799999999999997E-2</v>
      </c>
      <c r="J6" s="4"/>
      <c r="K6" s="5" t="s">
        <v>14</v>
      </c>
      <c r="L6" s="9">
        <v>100</v>
      </c>
    </row>
    <row r="7" spans="1:16" x14ac:dyDescent="0.25">
      <c r="A7" s="2">
        <v>49.3</v>
      </c>
      <c r="B7" s="2">
        <v>53.5</v>
      </c>
      <c r="D7" s="19">
        <f t="shared" si="0"/>
        <v>0.49299999999999999</v>
      </c>
      <c r="E7" s="11">
        <v>0.49299999999999999</v>
      </c>
      <c r="F7" s="19">
        <f t="shared" si="1"/>
        <v>53.5</v>
      </c>
      <c r="G7" s="18">
        <v>53.5</v>
      </c>
      <c r="H7" s="20">
        <f t="shared" si="2"/>
        <v>5.3499999999999999E-2</v>
      </c>
    </row>
    <row r="8" spans="1:16" x14ac:dyDescent="0.25">
      <c r="A8" s="2">
        <v>59.1</v>
      </c>
      <c r="B8" s="2">
        <v>64</v>
      </c>
      <c r="D8" s="19">
        <f t="shared" si="0"/>
        <v>0.59100000000000008</v>
      </c>
      <c r="E8" s="11">
        <v>0.59100000000000008</v>
      </c>
      <c r="F8" s="19">
        <f t="shared" si="1"/>
        <v>64</v>
      </c>
      <c r="G8" s="18">
        <v>64</v>
      </c>
      <c r="H8" s="20">
        <f t="shared" si="2"/>
        <v>6.4000000000000001E-2</v>
      </c>
      <c r="J8" s="6"/>
      <c r="K8" s="7" t="s">
        <v>10</v>
      </c>
      <c r="L8" s="9">
        <v>0.5</v>
      </c>
    </row>
    <row r="9" spans="1:16" x14ac:dyDescent="0.25">
      <c r="A9" s="2">
        <v>68.2</v>
      </c>
      <c r="B9" s="2">
        <v>73.900000000000006</v>
      </c>
      <c r="D9" s="19">
        <f t="shared" si="0"/>
        <v>0.68200000000000005</v>
      </c>
      <c r="E9" s="11">
        <v>0.68200000000000005</v>
      </c>
      <c r="F9" s="19">
        <f t="shared" si="1"/>
        <v>73.900000000000006</v>
      </c>
      <c r="G9" s="18">
        <v>73.900000000000006</v>
      </c>
      <c r="H9" s="20">
        <f t="shared" si="2"/>
        <v>7.3900000000000007E-2</v>
      </c>
      <c r="J9" s="6"/>
      <c r="K9" s="7" t="s">
        <v>11</v>
      </c>
      <c r="L9" s="9">
        <v>150</v>
      </c>
      <c r="M9" s="10" t="s">
        <v>6</v>
      </c>
      <c r="N9" s="1">
        <f>L9/1000</f>
        <v>0.15</v>
      </c>
    </row>
    <row r="10" spans="1:16" x14ac:dyDescent="0.25">
      <c r="A10" s="2">
        <v>76.900000000000006</v>
      </c>
      <c r="B10" s="2">
        <v>83</v>
      </c>
      <c r="D10" s="19">
        <f t="shared" si="0"/>
        <v>0.76900000000000013</v>
      </c>
      <c r="E10" s="11">
        <v>0.76900000000000013</v>
      </c>
      <c r="F10" s="19">
        <f t="shared" si="1"/>
        <v>83</v>
      </c>
      <c r="G10" s="18">
        <v>83</v>
      </c>
      <c r="H10" s="20">
        <f t="shared" si="2"/>
        <v>8.3000000000000004E-2</v>
      </c>
      <c r="J10" s="6"/>
      <c r="K10" s="7" t="s">
        <v>9</v>
      </c>
      <c r="L10" s="9">
        <v>150</v>
      </c>
    </row>
    <row r="11" spans="1:16" x14ac:dyDescent="0.25">
      <c r="A11" s="2">
        <v>89.1</v>
      </c>
      <c r="B11" s="2">
        <v>95.5</v>
      </c>
      <c r="D11" s="19">
        <f t="shared" si="0"/>
        <v>0.89100000000000001</v>
      </c>
      <c r="E11" s="11">
        <v>0.89100000000000001</v>
      </c>
      <c r="F11" s="19">
        <f t="shared" si="1"/>
        <v>95.5</v>
      </c>
      <c r="G11" s="18">
        <v>95.5</v>
      </c>
      <c r="H11" s="20">
        <f t="shared" si="2"/>
        <v>9.5500000000000002E-2</v>
      </c>
    </row>
    <row r="12" spans="1:16" x14ac:dyDescent="0.25">
      <c r="A12" s="2">
        <v>95.5</v>
      </c>
      <c r="B12" s="2">
        <v>102.5</v>
      </c>
      <c r="D12" s="19">
        <f t="shared" si="0"/>
        <v>0.95500000000000007</v>
      </c>
      <c r="E12" s="11">
        <v>0.95500000000000007</v>
      </c>
      <c r="F12" s="19">
        <f t="shared" si="1"/>
        <v>102.5</v>
      </c>
      <c r="G12" s="18">
        <v>102.5</v>
      </c>
      <c r="H12" s="20">
        <f t="shared" si="2"/>
        <v>0.10249999999999999</v>
      </c>
    </row>
    <row r="13" spans="1:16" x14ac:dyDescent="0.25">
      <c r="J13" s="6"/>
      <c r="K13" s="7" t="s">
        <v>15</v>
      </c>
      <c r="L13" s="1">
        <f>L5*L4/100</f>
        <v>5.0000000000000001E-3</v>
      </c>
      <c r="M13" t="s">
        <v>46</v>
      </c>
    </row>
    <row r="14" spans="1:16" x14ac:dyDescent="0.25">
      <c r="B14" s="6"/>
      <c r="C14" s="7" t="s">
        <v>23</v>
      </c>
      <c r="D14" s="14">
        <f>SLOPE(H3:H12,E3:E12)</f>
        <v>0.10849418373632658</v>
      </c>
      <c r="E14" t="s">
        <v>52</v>
      </c>
      <c r="J14" s="6"/>
      <c r="K14" s="7" t="s">
        <v>16</v>
      </c>
      <c r="L14" s="13">
        <v>5.0000000000000001E-3</v>
      </c>
      <c r="M14" t="s">
        <v>21</v>
      </c>
    </row>
    <row r="15" spans="1:16" x14ac:dyDescent="0.25">
      <c r="B15" s="6"/>
      <c r="C15" s="7" t="s">
        <v>24</v>
      </c>
      <c r="D15" s="1">
        <f>INTERCEPT(H3:H12,D3:D12)</f>
        <v>-5.5628015616557974E-4</v>
      </c>
    </row>
    <row r="16" spans="1:16" x14ac:dyDescent="0.25">
      <c r="B16" s="6"/>
      <c r="C16" s="7" t="s">
        <v>26</v>
      </c>
      <c r="D16" s="16">
        <f>1/D14</f>
        <v>9.2170839538301887</v>
      </c>
      <c r="E16" s="6" t="s">
        <v>22</v>
      </c>
      <c r="F16" s="15">
        <f>ABS(D16-L2)/L2</f>
        <v>6.8981418805031475E-2</v>
      </c>
      <c r="J16" s="6"/>
      <c r="K16" s="7" t="s">
        <v>18</v>
      </c>
      <c r="L16" s="1">
        <f>L9*L8/100</f>
        <v>0.75</v>
      </c>
      <c r="M16" t="s">
        <v>45</v>
      </c>
    </row>
    <row r="17" spans="2:22" x14ac:dyDescent="0.25">
      <c r="B17" s="4"/>
      <c r="C17" s="5" t="s">
        <v>25</v>
      </c>
      <c r="D17" s="1">
        <f>PEARSON(D3:D12,H3:H12)</f>
        <v>0.99976397527217298</v>
      </c>
      <c r="J17" s="6"/>
      <c r="K17" s="7" t="s">
        <v>16</v>
      </c>
      <c r="L17" s="13">
        <v>0.8</v>
      </c>
      <c r="M17" t="s">
        <v>21</v>
      </c>
    </row>
    <row r="21" spans="2:22" x14ac:dyDescent="0.25">
      <c r="J21" t="s">
        <v>19</v>
      </c>
    </row>
    <row r="22" spans="2:22" x14ac:dyDescent="0.25">
      <c r="J22" t="s">
        <v>20</v>
      </c>
    </row>
    <row r="23" spans="2:22" x14ac:dyDescent="0.25">
      <c r="J23" t="s">
        <v>56</v>
      </c>
      <c r="M23" s="3"/>
      <c r="N23" s="3"/>
      <c r="O23" s="3"/>
      <c r="P23" s="3"/>
    </row>
    <row r="24" spans="2:22" x14ac:dyDescent="0.25">
      <c r="J24" t="s">
        <v>29</v>
      </c>
    </row>
    <row r="25" spans="2:22" x14ac:dyDescent="0.25">
      <c r="J25" t="s">
        <v>30</v>
      </c>
      <c r="R25" s="33"/>
      <c r="S25" s="34" t="s">
        <v>53</v>
      </c>
      <c r="T25" s="29" t="s">
        <v>54</v>
      </c>
      <c r="U25" s="23"/>
      <c r="V25" s="24"/>
    </row>
    <row r="26" spans="2:22" x14ac:dyDescent="0.25">
      <c r="R26" s="4"/>
      <c r="S26" s="35" t="s">
        <v>55</v>
      </c>
      <c r="T26" s="31" t="s">
        <v>57</v>
      </c>
      <c r="U26" s="8"/>
      <c r="V26" s="28"/>
    </row>
    <row r="28" spans="2:22" x14ac:dyDescent="0.25">
      <c r="J28" t="s">
        <v>32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056A-2528-4A7B-81F0-71577A4127EC}">
  <dimension ref="A1:P28"/>
  <sheetViews>
    <sheetView workbookViewId="0">
      <selection activeCell="F16" sqref="E16:F16"/>
    </sheetView>
  </sheetViews>
  <sheetFormatPr defaultRowHeight="14.4" x14ac:dyDescent="0.25"/>
  <cols>
    <col min="3" max="3" width="12" customWidth="1"/>
    <col min="10" max="10" width="10.77734375" customWidth="1"/>
  </cols>
  <sheetData>
    <row r="1" spans="1:16" x14ac:dyDescent="0.25">
      <c r="B1" t="s">
        <v>33</v>
      </c>
      <c r="E1" s="17" t="s">
        <v>31</v>
      </c>
      <c r="G1" s="17" t="s">
        <v>31</v>
      </c>
    </row>
    <row r="2" spans="1:16" x14ac:dyDescent="0.25">
      <c r="A2" s="1" t="s">
        <v>5</v>
      </c>
      <c r="B2" s="1" t="s">
        <v>4</v>
      </c>
      <c r="D2" s="1" t="s">
        <v>7</v>
      </c>
      <c r="E2" s="1" t="s">
        <v>27</v>
      </c>
      <c r="F2" s="1" t="s">
        <v>17</v>
      </c>
      <c r="G2" s="1" t="s">
        <v>28</v>
      </c>
      <c r="H2" s="1" t="s">
        <v>8</v>
      </c>
      <c r="J2" s="6"/>
      <c r="K2" s="7" t="s">
        <v>2</v>
      </c>
      <c r="L2" s="9">
        <v>990.3</v>
      </c>
    </row>
    <row r="3" spans="1:16" x14ac:dyDescent="0.25">
      <c r="A3" s="2">
        <v>7.1</v>
      </c>
      <c r="B3" s="2">
        <v>13.7</v>
      </c>
      <c r="D3" s="19">
        <f>$L$5/$L$6*A3</f>
        <v>0.71</v>
      </c>
      <c r="E3" s="12">
        <v>0.71</v>
      </c>
      <c r="F3" s="19">
        <f>$L$9/$L$10*B3</f>
        <v>0.68500000000000005</v>
      </c>
      <c r="G3" s="32">
        <v>0.68</v>
      </c>
      <c r="H3" s="20">
        <f>G3/1000</f>
        <v>6.8000000000000005E-4</v>
      </c>
    </row>
    <row r="4" spans="1:16" x14ac:dyDescent="0.25">
      <c r="A4" s="2">
        <v>13.5</v>
      </c>
      <c r="B4" s="2">
        <v>27.8</v>
      </c>
      <c r="D4" s="19">
        <f t="shared" ref="D4:D12" si="0">$L$5/$L$6*A4</f>
        <v>1.35</v>
      </c>
      <c r="E4" s="12">
        <v>1.35</v>
      </c>
      <c r="F4" s="19">
        <f t="shared" ref="F4:F12" si="1">$L$9/$L$10*B4</f>
        <v>1.3900000000000001</v>
      </c>
      <c r="G4" s="12">
        <v>1.3900000000000001</v>
      </c>
      <c r="H4" s="20">
        <f t="shared" ref="H4:H12" si="2">G4/1000</f>
        <v>1.3900000000000002E-3</v>
      </c>
      <c r="J4" s="6"/>
      <c r="K4" s="7" t="s">
        <v>13</v>
      </c>
      <c r="L4" s="9">
        <v>0.5</v>
      </c>
    </row>
    <row r="5" spans="1:16" x14ac:dyDescent="0.25">
      <c r="A5" s="2">
        <v>19.3</v>
      </c>
      <c r="B5" s="2">
        <v>40</v>
      </c>
      <c r="D5" s="19">
        <f t="shared" si="0"/>
        <v>1.9300000000000002</v>
      </c>
      <c r="E5" s="12">
        <v>1.9300000000000002</v>
      </c>
      <c r="F5" s="19">
        <f t="shared" si="1"/>
        <v>2</v>
      </c>
      <c r="G5" s="12">
        <v>2</v>
      </c>
      <c r="H5" s="20">
        <f t="shared" si="2"/>
        <v>2E-3</v>
      </c>
      <c r="J5" s="6"/>
      <c r="K5" s="7" t="s">
        <v>12</v>
      </c>
      <c r="L5" s="9">
        <v>10</v>
      </c>
      <c r="P5" t="s">
        <v>3</v>
      </c>
    </row>
    <row r="6" spans="1:16" x14ac:dyDescent="0.25">
      <c r="A6" s="2">
        <v>26.7</v>
      </c>
      <c r="B6" s="2">
        <v>54.9</v>
      </c>
      <c r="D6" s="19">
        <f t="shared" si="0"/>
        <v>2.67</v>
      </c>
      <c r="E6" s="12">
        <v>2.67</v>
      </c>
      <c r="F6" s="19">
        <f t="shared" si="1"/>
        <v>2.7450000000000001</v>
      </c>
      <c r="G6" s="32">
        <v>2.74</v>
      </c>
      <c r="H6" s="20">
        <f t="shared" si="2"/>
        <v>2.7400000000000002E-3</v>
      </c>
      <c r="J6" s="4"/>
      <c r="K6" s="5" t="s">
        <v>14</v>
      </c>
      <c r="L6" s="9">
        <v>100</v>
      </c>
    </row>
    <row r="7" spans="1:16" x14ac:dyDescent="0.25">
      <c r="A7" s="2">
        <v>34.9</v>
      </c>
      <c r="B7" s="2">
        <v>71.5</v>
      </c>
      <c r="D7" s="19">
        <f t="shared" si="0"/>
        <v>3.49</v>
      </c>
      <c r="E7" s="12">
        <v>3.49</v>
      </c>
      <c r="F7" s="19">
        <f t="shared" si="1"/>
        <v>3.5750000000000002</v>
      </c>
      <c r="G7" s="32">
        <v>3.5750000000000002</v>
      </c>
      <c r="H7" s="20">
        <f t="shared" si="2"/>
        <v>3.5750000000000001E-3</v>
      </c>
    </row>
    <row r="8" spans="1:16" x14ac:dyDescent="0.25">
      <c r="A8" s="2">
        <v>41.9</v>
      </c>
      <c r="B8" s="2">
        <v>86.1</v>
      </c>
      <c r="D8" s="19">
        <f t="shared" si="0"/>
        <v>4.1900000000000004</v>
      </c>
      <c r="E8" s="12">
        <v>4.1900000000000004</v>
      </c>
      <c r="F8" s="19">
        <f t="shared" si="1"/>
        <v>4.3049999999999997</v>
      </c>
      <c r="G8" s="32">
        <v>4.3</v>
      </c>
      <c r="H8" s="20">
        <f t="shared" si="2"/>
        <v>4.3E-3</v>
      </c>
      <c r="J8" s="6"/>
      <c r="K8" s="7" t="s">
        <v>10</v>
      </c>
      <c r="L8" s="9">
        <v>0.5</v>
      </c>
    </row>
    <row r="9" spans="1:16" x14ac:dyDescent="0.25">
      <c r="A9" s="2">
        <v>48.5</v>
      </c>
      <c r="B9" s="2">
        <v>99.7</v>
      </c>
      <c r="D9" s="19">
        <f t="shared" si="0"/>
        <v>4.8500000000000005</v>
      </c>
      <c r="E9" s="12">
        <v>4.8500000000000005</v>
      </c>
      <c r="F9" s="19">
        <f t="shared" si="1"/>
        <v>4.9850000000000003</v>
      </c>
      <c r="G9" s="32">
        <v>4.9800000000000004</v>
      </c>
      <c r="H9" s="20">
        <f t="shared" si="2"/>
        <v>4.9800000000000001E-3</v>
      </c>
      <c r="J9" s="6"/>
      <c r="K9" s="7" t="s">
        <v>11</v>
      </c>
      <c r="L9" s="9">
        <v>7.5</v>
      </c>
      <c r="M9" s="10" t="s">
        <v>6</v>
      </c>
      <c r="N9" s="1">
        <f>L9/1000</f>
        <v>7.4999999999999997E-3</v>
      </c>
    </row>
    <row r="10" spans="1:16" x14ac:dyDescent="0.25">
      <c r="A10" s="2">
        <v>56.1</v>
      </c>
      <c r="B10" s="2">
        <v>114.8</v>
      </c>
      <c r="D10" s="19">
        <f t="shared" si="0"/>
        <v>5.61</v>
      </c>
      <c r="E10" s="12">
        <v>5.61</v>
      </c>
      <c r="F10" s="19">
        <f t="shared" si="1"/>
        <v>5.74</v>
      </c>
      <c r="G10" s="12">
        <v>5.74</v>
      </c>
      <c r="H10" s="20">
        <f t="shared" si="2"/>
        <v>5.7400000000000003E-3</v>
      </c>
      <c r="J10" s="6"/>
      <c r="K10" s="7" t="s">
        <v>9</v>
      </c>
      <c r="L10" s="9">
        <v>150</v>
      </c>
    </row>
    <row r="11" spans="1:16" x14ac:dyDescent="0.25">
      <c r="A11" s="2">
        <v>63</v>
      </c>
      <c r="B11" s="2">
        <v>128.80000000000001</v>
      </c>
      <c r="D11" s="19">
        <f t="shared" si="0"/>
        <v>6.3000000000000007</v>
      </c>
      <c r="E11" s="12">
        <v>6.3000000000000007</v>
      </c>
      <c r="F11" s="19">
        <f t="shared" si="1"/>
        <v>6.4400000000000013</v>
      </c>
      <c r="G11" s="12">
        <v>6.4400000000000013</v>
      </c>
      <c r="H11" s="20">
        <f t="shared" si="2"/>
        <v>6.4400000000000013E-3</v>
      </c>
    </row>
    <row r="12" spans="1:16" x14ac:dyDescent="0.25">
      <c r="A12" s="2">
        <v>70</v>
      </c>
      <c r="B12" s="2">
        <v>143</v>
      </c>
      <c r="D12" s="19">
        <f t="shared" si="0"/>
        <v>7</v>
      </c>
      <c r="E12" s="12">
        <v>7</v>
      </c>
      <c r="F12" s="19">
        <f t="shared" si="1"/>
        <v>7.15</v>
      </c>
      <c r="G12" s="12">
        <v>7.15</v>
      </c>
      <c r="H12" s="20">
        <f t="shared" si="2"/>
        <v>7.1500000000000001E-3</v>
      </c>
    </row>
    <row r="13" spans="1:16" x14ac:dyDescent="0.25">
      <c r="J13" s="6"/>
      <c r="K13" s="7" t="s">
        <v>15</v>
      </c>
      <c r="L13" s="1">
        <f>L5*L4/100</f>
        <v>0.05</v>
      </c>
      <c r="M13" t="s">
        <v>46</v>
      </c>
    </row>
    <row r="14" spans="1:16" x14ac:dyDescent="0.25">
      <c r="B14" s="6"/>
      <c r="C14" s="7" t="s">
        <v>23</v>
      </c>
      <c r="D14" s="14">
        <f>SLOPE(H3:H12,E3:E12)</f>
        <v>1.023988783837916E-3</v>
      </c>
      <c r="E14" t="s">
        <v>52</v>
      </c>
      <c r="J14" s="6"/>
      <c r="K14" s="7" t="s">
        <v>16</v>
      </c>
      <c r="L14" s="13">
        <v>0.05</v>
      </c>
      <c r="M14" t="s">
        <v>21</v>
      </c>
    </row>
    <row r="15" spans="1:16" x14ac:dyDescent="0.25">
      <c r="B15" s="6"/>
      <c r="C15" s="7" t="s">
        <v>24</v>
      </c>
      <c r="D15" s="1">
        <f>INTERCEPT(H3:H12,D3:D12)</f>
        <v>-1.8972664224598847E-6</v>
      </c>
    </row>
    <row r="16" spans="1:16" x14ac:dyDescent="0.25">
      <c r="B16" s="6"/>
      <c r="C16" s="7" t="s">
        <v>26</v>
      </c>
      <c r="D16" s="16">
        <f>1/D14</f>
        <v>976.57319668287198</v>
      </c>
      <c r="E16" s="6" t="s">
        <v>22</v>
      </c>
      <c r="F16" s="15">
        <f>ABS(D16-L2)/L2</f>
        <v>1.3861257515023704E-2</v>
      </c>
      <c r="J16" s="6"/>
      <c r="K16" s="7" t="s">
        <v>18</v>
      </c>
      <c r="L16" s="1">
        <f>L9*L8/100</f>
        <v>3.7499999999999999E-2</v>
      </c>
      <c r="M16" t="s">
        <v>45</v>
      </c>
    </row>
    <row r="17" spans="2:16" x14ac:dyDescent="0.25">
      <c r="B17" s="4"/>
      <c r="C17" s="5" t="s">
        <v>25</v>
      </c>
      <c r="D17" s="1">
        <f>PEARSON(D3:D12,H3:H12)</f>
        <v>0.99995886254912614</v>
      </c>
      <c r="J17" s="6"/>
      <c r="K17" s="7" t="s">
        <v>16</v>
      </c>
      <c r="L17" s="13">
        <v>0.04</v>
      </c>
      <c r="M17" t="s">
        <v>21</v>
      </c>
    </row>
    <row r="21" spans="2:16" x14ac:dyDescent="0.25">
      <c r="J21" t="s">
        <v>19</v>
      </c>
    </row>
    <row r="22" spans="2:16" x14ac:dyDescent="0.25">
      <c r="J22" t="s">
        <v>20</v>
      </c>
    </row>
    <row r="23" spans="2:16" x14ac:dyDescent="0.25">
      <c r="J23" t="s">
        <v>58</v>
      </c>
      <c r="M23" s="3"/>
      <c r="N23" s="3"/>
      <c r="O23" s="3"/>
      <c r="P23" s="3"/>
    </row>
    <row r="24" spans="2:16" x14ac:dyDescent="0.25">
      <c r="J24" t="s">
        <v>29</v>
      </c>
    </row>
    <row r="25" spans="2:16" x14ac:dyDescent="0.25">
      <c r="J25" t="s">
        <v>30</v>
      </c>
    </row>
    <row r="28" spans="2:16" x14ac:dyDescent="0.25">
      <c r="J28" t="s">
        <v>32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8841-5F03-49A1-8C54-DBD099EB4D79}">
  <dimension ref="A1:V30"/>
  <sheetViews>
    <sheetView workbookViewId="0"/>
  </sheetViews>
  <sheetFormatPr defaultRowHeight="14.4" x14ac:dyDescent="0.25"/>
  <cols>
    <col min="4" max="4" width="6.77734375" customWidth="1"/>
    <col min="6" max="6" width="9.33203125" bestFit="1" customWidth="1"/>
    <col min="10" max="10" width="5" customWidth="1"/>
    <col min="11" max="11" width="15.5546875" customWidth="1"/>
    <col min="13" max="13" width="7" customWidth="1"/>
    <col min="14" max="14" width="8.21875" customWidth="1"/>
    <col min="15" max="15" width="7.5546875" customWidth="1"/>
    <col min="17" max="17" width="10.33203125" customWidth="1"/>
    <col min="22" max="22" width="11.44140625" customWidth="1"/>
  </cols>
  <sheetData>
    <row r="1" spans="1:22" x14ac:dyDescent="0.25">
      <c r="A1" t="s">
        <v>34</v>
      </c>
      <c r="F1" s="17" t="s">
        <v>31</v>
      </c>
      <c r="H1" s="17" t="s">
        <v>31</v>
      </c>
      <c r="I1" s="17" t="s">
        <v>50</v>
      </c>
      <c r="L1" s="21"/>
    </row>
    <row r="2" spans="1:22" x14ac:dyDescent="0.25">
      <c r="A2" s="1" t="s">
        <v>5</v>
      </c>
      <c r="B2" s="1" t="s">
        <v>4</v>
      </c>
      <c r="C2" s="1" t="s">
        <v>35</v>
      </c>
      <c r="E2" s="1" t="s">
        <v>7</v>
      </c>
      <c r="F2" s="1" t="s">
        <v>27</v>
      </c>
      <c r="G2" s="1" t="s">
        <v>17</v>
      </c>
      <c r="H2" s="1" t="s">
        <v>28</v>
      </c>
      <c r="I2" s="1" t="s">
        <v>8</v>
      </c>
      <c r="Q2" t="s">
        <v>3</v>
      </c>
    </row>
    <row r="3" spans="1:22" x14ac:dyDescent="0.25">
      <c r="A3" s="2">
        <v>51.2</v>
      </c>
      <c r="B3" s="2">
        <v>135</v>
      </c>
      <c r="C3" s="36">
        <v>-1</v>
      </c>
      <c r="D3" s="41" t="s">
        <v>62</v>
      </c>
      <c r="E3" s="38">
        <f t="shared" ref="E3:E12" si="0">$M$5/$M$6*A3*C3</f>
        <v>-5.120000000000001</v>
      </c>
      <c r="F3" s="44">
        <v>-5.120000000000001</v>
      </c>
      <c r="G3" s="38">
        <f t="shared" ref="G3:G12" si="1">$M$10/$M$11*B3*C3</f>
        <v>-6.75</v>
      </c>
      <c r="H3" s="45">
        <v>-6.75</v>
      </c>
      <c r="I3" s="20">
        <f t="shared" ref="I3:I22" si="2">H3/1000</f>
        <v>-6.7499999999999999E-3</v>
      </c>
      <c r="K3" s="6"/>
      <c r="L3" s="7" t="s">
        <v>13</v>
      </c>
      <c r="M3" s="9">
        <v>0.5</v>
      </c>
    </row>
    <row r="4" spans="1:22" x14ac:dyDescent="0.25">
      <c r="A4" s="2">
        <v>51.1</v>
      </c>
      <c r="B4" s="2">
        <v>113.8</v>
      </c>
      <c r="C4" s="36">
        <v>-1</v>
      </c>
      <c r="D4" s="41" t="s">
        <v>62</v>
      </c>
      <c r="E4" s="38">
        <f t="shared" si="0"/>
        <v>-5.1100000000000003</v>
      </c>
      <c r="F4" s="44">
        <v>-5.1100000000000003</v>
      </c>
      <c r="G4" s="38">
        <f t="shared" si="1"/>
        <v>-5.69</v>
      </c>
      <c r="H4" s="45">
        <v>-5.69</v>
      </c>
      <c r="I4" s="20">
        <f t="shared" si="2"/>
        <v>-5.6900000000000006E-3</v>
      </c>
      <c r="K4" s="6"/>
      <c r="L4" s="22" t="s">
        <v>36</v>
      </c>
      <c r="M4" s="9">
        <v>1</v>
      </c>
      <c r="Q4" s="47" t="s">
        <v>51</v>
      </c>
      <c r="R4" s="48"/>
      <c r="S4" s="49"/>
    </row>
    <row r="5" spans="1:22" ht="14.4" customHeight="1" x14ac:dyDescent="0.25">
      <c r="A5" s="2">
        <v>50.9</v>
      </c>
      <c r="B5" s="2">
        <v>84.5</v>
      </c>
      <c r="C5" s="36">
        <v>-1</v>
      </c>
      <c r="D5" s="41" t="s">
        <v>62</v>
      </c>
      <c r="E5" s="38">
        <f t="shared" si="0"/>
        <v>-5.09</v>
      </c>
      <c r="F5" s="44">
        <v>-5.09</v>
      </c>
      <c r="G5" s="38">
        <f t="shared" si="1"/>
        <v>-4.2250000000000005</v>
      </c>
      <c r="H5" s="45">
        <v>-4.22</v>
      </c>
      <c r="I5" s="20">
        <f t="shared" si="2"/>
        <v>-4.2199999999999998E-3</v>
      </c>
      <c r="K5" s="6"/>
      <c r="L5" s="22" t="s">
        <v>41</v>
      </c>
      <c r="M5" s="9">
        <v>10</v>
      </c>
      <c r="Q5" s="50"/>
      <c r="R5" s="51"/>
      <c r="S5" s="52"/>
    </row>
    <row r="6" spans="1:22" ht="14.4" customHeight="1" x14ac:dyDescent="0.25">
      <c r="A6" s="2">
        <v>50.7</v>
      </c>
      <c r="B6" s="2">
        <v>64.7</v>
      </c>
      <c r="C6" s="36">
        <v>-1</v>
      </c>
      <c r="D6" s="41" t="s">
        <v>62</v>
      </c>
      <c r="E6" s="38">
        <f t="shared" si="0"/>
        <v>-5.07</v>
      </c>
      <c r="F6" s="44">
        <v>-5.07</v>
      </c>
      <c r="G6" s="38">
        <f t="shared" si="1"/>
        <v>-3.2350000000000003</v>
      </c>
      <c r="H6" s="45">
        <v>-3.24</v>
      </c>
      <c r="I6" s="20">
        <f t="shared" si="2"/>
        <v>-3.2400000000000003E-3</v>
      </c>
      <c r="K6" s="4"/>
      <c r="L6" s="5" t="s">
        <v>14</v>
      </c>
      <c r="M6" s="9">
        <v>100</v>
      </c>
      <c r="Q6" s="53"/>
      <c r="R6" s="54"/>
      <c r="S6" s="55"/>
    </row>
    <row r="7" spans="1:22" ht="14.4" customHeight="1" x14ac:dyDescent="0.25">
      <c r="A7" s="2">
        <v>50</v>
      </c>
      <c r="B7" s="2">
        <v>33.799999999999997</v>
      </c>
      <c r="C7" s="36">
        <v>-1</v>
      </c>
      <c r="D7" s="41" t="s">
        <v>62</v>
      </c>
      <c r="E7" s="38">
        <f t="shared" si="0"/>
        <v>-5</v>
      </c>
      <c r="F7" s="44">
        <v>-5</v>
      </c>
      <c r="G7" s="38">
        <f t="shared" si="1"/>
        <v>-1.69</v>
      </c>
      <c r="H7" s="45">
        <v>-1.69</v>
      </c>
      <c r="I7" s="20">
        <f t="shared" si="2"/>
        <v>-1.6899999999999999E-3</v>
      </c>
      <c r="Q7" t="s">
        <v>64</v>
      </c>
    </row>
    <row r="8" spans="1:22" x14ac:dyDescent="0.25">
      <c r="A8" s="2">
        <v>45.1</v>
      </c>
      <c r="B8" s="2">
        <v>2.5</v>
      </c>
      <c r="C8" s="36">
        <v>-1</v>
      </c>
      <c r="D8" s="41" t="s">
        <v>62</v>
      </c>
      <c r="E8" s="38">
        <f t="shared" si="0"/>
        <v>-4.5100000000000007</v>
      </c>
      <c r="F8" s="44">
        <v>-4.5100000000000007</v>
      </c>
      <c r="G8" s="38">
        <f t="shared" si="1"/>
        <v>-0.125</v>
      </c>
      <c r="H8" s="45">
        <v>-0.12</v>
      </c>
      <c r="I8" s="20">
        <f t="shared" si="2"/>
        <v>-1.1999999999999999E-4</v>
      </c>
      <c r="K8" s="6"/>
      <c r="L8" s="7" t="s">
        <v>10</v>
      </c>
      <c r="M8" s="9">
        <v>0.5</v>
      </c>
    </row>
    <row r="9" spans="1:22" x14ac:dyDescent="0.25">
      <c r="A9" s="2">
        <v>43.8</v>
      </c>
      <c r="B9" s="2">
        <v>1.5</v>
      </c>
      <c r="C9" s="36">
        <v>-1</v>
      </c>
      <c r="D9" s="41" t="s">
        <v>62</v>
      </c>
      <c r="E9" s="38">
        <f t="shared" si="0"/>
        <v>-4.38</v>
      </c>
      <c r="F9" s="44">
        <v>-4.38</v>
      </c>
      <c r="G9" s="38">
        <f t="shared" si="1"/>
        <v>-7.5000000000000011E-2</v>
      </c>
      <c r="H9" s="45">
        <v>-0.08</v>
      </c>
      <c r="I9" s="20">
        <f t="shared" si="2"/>
        <v>-8.0000000000000007E-5</v>
      </c>
      <c r="K9" s="6"/>
      <c r="L9" s="22" t="s">
        <v>37</v>
      </c>
      <c r="M9" s="9">
        <v>15</v>
      </c>
      <c r="N9" s="10" t="s">
        <v>6</v>
      </c>
      <c r="O9" s="1">
        <f>M9/1000</f>
        <v>1.4999999999999999E-2</v>
      </c>
    </row>
    <row r="10" spans="1:22" x14ac:dyDescent="0.25">
      <c r="A10" s="2">
        <v>42.5</v>
      </c>
      <c r="B10" s="2">
        <v>0.9</v>
      </c>
      <c r="C10" s="36">
        <v>-1</v>
      </c>
      <c r="D10" s="41" t="s">
        <v>62</v>
      </c>
      <c r="E10" s="38">
        <f t="shared" si="0"/>
        <v>-4.25</v>
      </c>
      <c r="F10" s="44">
        <v>-4.25</v>
      </c>
      <c r="G10" s="38">
        <f t="shared" si="1"/>
        <v>-4.5000000000000005E-2</v>
      </c>
      <c r="H10" s="45">
        <v>-0.04</v>
      </c>
      <c r="I10" s="20">
        <f t="shared" si="2"/>
        <v>-4.0000000000000003E-5</v>
      </c>
      <c r="K10" s="6"/>
      <c r="L10" s="22" t="s">
        <v>42</v>
      </c>
      <c r="M10" s="9">
        <v>7.5</v>
      </c>
      <c r="N10" s="10" t="s">
        <v>6</v>
      </c>
      <c r="O10" s="1">
        <f>M10/1000</f>
        <v>7.4999999999999997E-3</v>
      </c>
    </row>
    <row r="11" spans="1:22" x14ac:dyDescent="0.25">
      <c r="A11" s="2">
        <v>39.6</v>
      </c>
      <c r="B11" s="2">
        <v>0.1</v>
      </c>
      <c r="C11" s="36">
        <v>-1</v>
      </c>
      <c r="D11" s="41" t="s">
        <v>62</v>
      </c>
      <c r="E11" s="38">
        <f t="shared" si="0"/>
        <v>-3.9600000000000004</v>
      </c>
      <c r="F11" s="44">
        <v>-3.9600000000000004</v>
      </c>
      <c r="G11" s="38">
        <f t="shared" si="1"/>
        <v>-5.000000000000001E-3</v>
      </c>
      <c r="H11" s="45">
        <v>0</v>
      </c>
      <c r="I11" s="20">
        <f t="shared" si="2"/>
        <v>0</v>
      </c>
      <c r="K11" s="6"/>
      <c r="L11" s="7" t="s">
        <v>9</v>
      </c>
      <c r="M11" s="9">
        <v>150</v>
      </c>
    </row>
    <row r="12" spans="1:22" x14ac:dyDescent="0.25">
      <c r="A12" s="2">
        <v>19.5</v>
      </c>
      <c r="B12" s="2">
        <v>0</v>
      </c>
      <c r="C12" s="36">
        <v>-1</v>
      </c>
      <c r="D12" s="41" t="s">
        <v>62</v>
      </c>
      <c r="E12" s="38">
        <f t="shared" si="0"/>
        <v>-1.9500000000000002</v>
      </c>
      <c r="F12" s="44">
        <v>-1.9500000000000002</v>
      </c>
      <c r="G12" s="38">
        <f t="shared" si="1"/>
        <v>0</v>
      </c>
      <c r="H12" s="45">
        <v>0</v>
      </c>
      <c r="I12" s="20">
        <f t="shared" si="2"/>
        <v>0</v>
      </c>
    </row>
    <row r="13" spans="1:22" x14ac:dyDescent="0.25">
      <c r="A13" s="2">
        <v>16.399999999999999</v>
      </c>
      <c r="B13" s="2">
        <v>1</v>
      </c>
      <c r="C13" s="36">
        <v>1</v>
      </c>
      <c r="D13" s="40" t="s">
        <v>63</v>
      </c>
      <c r="E13" s="39">
        <f t="shared" ref="E13:E22" si="3">$M$4/$M$6*A13*C13</f>
        <v>0.16399999999999998</v>
      </c>
      <c r="F13" s="42">
        <v>0.16399999999999998</v>
      </c>
      <c r="G13" s="39">
        <f t="shared" ref="G13:G22" si="4">$M$9/$M$11*B13*C13</f>
        <v>0.1</v>
      </c>
      <c r="H13" s="43">
        <v>0.1</v>
      </c>
      <c r="I13" s="20">
        <f t="shared" si="2"/>
        <v>1E-4</v>
      </c>
      <c r="K13" s="6"/>
      <c r="L13" s="22" t="s">
        <v>38</v>
      </c>
      <c r="M13" s="1">
        <f>M4*M3/100</f>
        <v>5.0000000000000001E-3</v>
      </c>
      <c r="N13" s="10" t="s">
        <v>16</v>
      </c>
      <c r="O13" s="13">
        <v>5.0000000000000001E-3</v>
      </c>
      <c r="P13" t="s">
        <v>46</v>
      </c>
      <c r="Q13" s="6"/>
      <c r="R13" s="22" t="s">
        <v>43</v>
      </c>
      <c r="S13" s="1">
        <f>M5*M3/100</f>
        <v>0.05</v>
      </c>
      <c r="T13" s="10" t="s">
        <v>16</v>
      </c>
      <c r="U13" s="13">
        <v>0.05</v>
      </c>
      <c r="V13" t="s">
        <v>46</v>
      </c>
    </row>
    <row r="14" spans="1:22" x14ac:dyDescent="0.25">
      <c r="A14" s="2">
        <v>30.8</v>
      </c>
      <c r="B14" s="2">
        <v>2.5</v>
      </c>
      <c r="C14" s="36">
        <v>1</v>
      </c>
      <c r="D14" s="40" t="s">
        <v>63</v>
      </c>
      <c r="E14" s="39">
        <f t="shared" si="3"/>
        <v>0.308</v>
      </c>
      <c r="F14" s="42">
        <v>0.308</v>
      </c>
      <c r="G14" s="39">
        <f t="shared" si="4"/>
        <v>0.25</v>
      </c>
      <c r="H14" s="43">
        <v>0.25</v>
      </c>
      <c r="I14" s="20">
        <f t="shared" si="2"/>
        <v>2.5000000000000001E-4</v>
      </c>
      <c r="K14" s="6"/>
      <c r="L14" s="22" t="s">
        <v>39</v>
      </c>
      <c r="M14" s="1">
        <f>M9*M8/100</f>
        <v>7.4999999999999997E-2</v>
      </c>
      <c r="N14" s="7" t="s">
        <v>16</v>
      </c>
      <c r="O14" s="13">
        <v>0.08</v>
      </c>
      <c r="P14" t="s">
        <v>45</v>
      </c>
      <c r="Q14" s="6"/>
      <c r="R14" s="22" t="s">
        <v>44</v>
      </c>
      <c r="S14" s="1">
        <f>M10*M8/100</f>
        <v>3.7499999999999999E-2</v>
      </c>
      <c r="T14" s="7" t="s">
        <v>16</v>
      </c>
      <c r="U14" s="13">
        <v>0.04</v>
      </c>
      <c r="V14" t="s">
        <v>45</v>
      </c>
    </row>
    <row r="15" spans="1:22" x14ac:dyDescent="0.25">
      <c r="A15" s="2">
        <v>42.9</v>
      </c>
      <c r="B15" s="2">
        <v>3.9</v>
      </c>
      <c r="C15" s="36">
        <v>1</v>
      </c>
      <c r="D15" s="40" t="s">
        <v>63</v>
      </c>
      <c r="E15" s="39">
        <f t="shared" si="3"/>
        <v>0.42899999999999999</v>
      </c>
      <c r="F15" s="42">
        <v>0.42899999999999999</v>
      </c>
      <c r="G15" s="39">
        <f t="shared" si="4"/>
        <v>0.39</v>
      </c>
      <c r="H15" s="43">
        <v>0.39</v>
      </c>
      <c r="I15" s="20">
        <f t="shared" si="2"/>
        <v>3.8999999999999999E-4</v>
      </c>
    </row>
    <row r="16" spans="1:22" x14ac:dyDescent="0.25">
      <c r="A16" s="2">
        <v>55.5</v>
      </c>
      <c r="B16" s="2">
        <v>5</v>
      </c>
      <c r="C16" s="36">
        <v>1</v>
      </c>
      <c r="D16" s="40" t="s">
        <v>63</v>
      </c>
      <c r="E16" s="39">
        <f t="shared" si="3"/>
        <v>0.55500000000000005</v>
      </c>
      <c r="F16" s="42">
        <v>0.55500000000000005</v>
      </c>
      <c r="G16" s="39">
        <f t="shared" si="4"/>
        <v>0.5</v>
      </c>
      <c r="H16" s="43">
        <v>0.5</v>
      </c>
      <c r="I16" s="20">
        <f t="shared" si="2"/>
        <v>5.0000000000000001E-4</v>
      </c>
    </row>
    <row r="17" spans="1:9" x14ac:dyDescent="0.25">
      <c r="A17" s="2">
        <v>71.5</v>
      </c>
      <c r="B17" s="2">
        <v>12</v>
      </c>
      <c r="C17" s="36">
        <v>1</v>
      </c>
      <c r="D17" s="40" t="s">
        <v>63</v>
      </c>
      <c r="E17" s="39">
        <f t="shared" si="3"/>
        <v>0.71499999999999997</v>
      </c>
      <c r="F17" s="42">
        <v>0.71499999999999997</v>
      </c>
      <c r="G17" s="39">
        <f t="shared" si="4"/>
        <v>1.2000000000000002</v>
      </c>
      <c r="H17" s="43">
        <v>1.2000000000000002</v>
      </c>
      <c r="I17" s="20">
        <f t="shared" si="2"/>
        <v>1.2000000000000001E-3</v>
      </c>
    </row>
    <row r="18" spans="1:9" x14ac:dyDescent="0.25">
      <c r="A18" s="2">
        <v>74</v>
      </c>
      <c r="B18" s="2">
        <v>28</v>
      </c>
      <c r="C18" s="36">
        <v>1</v>
      </c>
      <c r="D18" s="40" t="s">
        <v>63</v>
      </c>
      <c r="E18" s="39">
        <f t="shared" si="3"/>
        <v>0.74</v>
      </c>
      <c r="F18" s="42">
        <v>0.74</v>
      </c>
      <c r="G18" s="39">
        <f t="shared" si="4"/>
        <v>2.8000000000000003</v>
      </c>
      <c r="H18" s="43">
        <v>2.8000000000000003</v>
      </c>
      <c r="I18" s="20">
        <f t="shared" si="2"/>
        <v>2.8000000000000004E-3</v>
      </c>
    </row>
    <row r="19" spans="1:9" x14ac:dyDescent="0.25">
      <c r="A19" s="2">
        <v>75.5</v>
      </c>
      <c r="B19" s="2">
        <v>44.5</v>
      </c>
      <c r="C19" s="36">
        <v>1</v>
      </c>
      <c r="D19" s="40" t="s">
        <v>63</v>
      </c>
      <c r="E19" s="39">
        <f t="shared" si="3"/>
        <v>0.755</v>
      </c>
      <c r="F19" s="42">
        <v>0.755</v>
      </c>
      <c r="G19" s="39">
        <f t="shared" si="4"/>
        <v>4.45</v>
      </c>
      <c r="H19" s="43">
        <v>4.45</v>
      </c>
      <c r="I19" s="20">
        <f t="shared" si="2"/>
        <v>4.45E-3</v>
      </c>
    </row>
    <row r="20" spans="1:9" x14ac:dyDescent="0.25">
      <c r="A20" s="2">
        <v>76.900000000000006</v>
      </c>
      <c r="B20" s="2">
        <v>74.5</v>
      </c>
      <c r="C20" s="36">
        <v>1</v>
      </c>
      <c r="D20" s="40" t="s">
        <v>63</v>
      </c>
      <c r="E20" s="39">
        <f t="shared" si="3"/>
        <v>0.76900000000000013</v>
      </c>
      <c r="F20" s="42">
        <v>0.76900000000000013</v>
      </c>
      <c r="G20" s="39">
        <f t="shared" si="4"/>
        <v>7.45</v>
      </c>
      <c r="H20" s="43">
        <v>7.45</v>
      </c>
      <c r="I20" s="20">
        <f t="shared" si="2"/>
        <v>7.45E-3</v>
      </c>
    </row>
    <row r="21" spans="1:9" x14ac:dyDescent="0.25">
      <c r="A21" s="2">
        <v>78</v>
      </c>
      <c r="B21" s="2">
        <v>109</v>
      </c>
      <c r="C21" s="36">
        <v>1</v>
      </c>
      <c r="D21" s="40" t="s">
        <v>63</v>
      </c>
      <c r="E21" s="39">
        <f t="shared" si="3"/>
        <v>0.78</v>
      </c>
      <c r="F21" s="42">
        <v>0.78</v>
      </c>
      <c r="G21" s="39">
        <f t="shared" si="4"/>
        <v>10.9</v>
      </c>
      <c r="H21" s="43">
        <v>10.9</v>
      </c>
      <c r="I21" s="20">
        <f t="shared" si="2"/>
        <v>1.09E-2</v>
      </c>
    </row>
    <row r="22" spans="1:9" x14ac:dyDescent="0.25">
      <c r="A22" s="2">
        <v>78.8</v>
      </c>
      <c r="B22" s="2">
        <v>141</v>
      </c>
      <c r="C22" s="36">
        <v>1</v>
      </c>
      <c r="D22" s="40" t="s">
        <v>63</v>
      </c>
      <c r="E22" s="39">
        <f t="shared" si="3"/>
        <v>0.78800000000000003</v>
      </c>
      <c r="F22" s="42">
        <v>0.78800000000000003</v>
      </c>
      <c r="G22" s="39">
        <f t="shared" si="4"/>
        <v>14.100000000000001</v>
      </c>
      <c r="H22" s="43">
        <v>14.100000000000001</v>
      </c>
      <c r="I22" s="20">
        <f t="shared" si="2"/>
        <v>1.4100000000000001E-2</v>
      </c>
    </row>
    <row r="23" spans="1:9" x14ac:dyDescent="0.25">
      <c r="F23" s="46" t="s">
        <v>48</v>
      </c>
      <c r="H23" s="46" t="s">
        <v>48</v>
      </c>
    </row>
    <row r="24" spans="1:9" x14ac:dyDescent="0.25">
      <c r="D24" s="21"/>
      <c r="F24" s="17" t="s">
        <v>60</v>
      </c>
      <c r="H24" s="17" t="s">
        <v>60</v>
      </c>
    </row>
    <row r="25" spans="1:9" ht="14.4" customHeight="1" x14ac:dyDescent="0.25">
      <c r="B25" s="29" t="s">
        <v>61</v>
      </c>
      <c r="C25" s="23"/>
      <c r="D25" s="37"/>
      <c r="E25" s="37"/>
      <c r="F25" s="37"/>
      <c r="G25" s="37"/>
      <c r="H25" s="24"/>
    </row>
    <row r="26" spans="1:9" ht="14.4" customHeight="1" x14ac:dyDescent="0.25">
      <c r="B26" s="30" t="s">
        <v>40</v>
      </c>
      <c r="D26" s="3"/>
      <c r="E26" s="3"/>
      <c r="F26" s="3"/>
      <c r="G26" s="3"/>
      <c r="H26" s="26"/>
    </row>
    <row r="27" spans="1:9" x14ac:dyDescent="0.25">
      <c r="B27" s="30" t="s">
        <v>49</v>
      </c>
      <c r="E27" s="3"/>
      <c r="F27" s="3"/>
      <c r="G27" s="3"/>
      <c r="H27" s="27"/>
    </row>
    <row r="28" spans="1:9" x14ac:dyDescent="0.25">
      <c r="B28" s="25" t="s">
        <v>29</v>
      </c>
      <c r="H28" s="26"/>
    </row>
    <row r="29" spans="1:9" x14ac:dyDescent="0.25">
      <c r="B29" s="31" t="s">
        <v>59</v>
      </c>
      <c r="C29" s="8"/>
      <c r="D29" s="8"/>
      <c r="E29" s="8"/>
      <c r="F29" s="8"/>
      <c r="G29" s="8"/>
      <c r="H29" s="28"/>
    </row>
    <row r="30" spans="1:9" x14ac:dyDescent="0.25">
      <c r="B30" t="s">
        <v>47</v>
      </c>
    </row>
  </sheetData>
  <autoFilter ref="A2:I22" xr:uid="{59EB8841-5F03-49A1-8C54-DBD099EB4D79}">
    <sortState xmlns:xlrd2="http://schemas.microsoft.com/office/spreadsheetml/2017/richdata2" ref="A3:I30">
      <sortCondition ref="F2:F22"/>
    </sortState>
  </autoFilter>
  <mergeCells count="1">
    <mergeCell ref="Q4:S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765D-D0E8-486C-B089-F28215D4014E}">
  <dimension ref="A1:G12"/>
  <sheetViews>
    <sheetView tabSelected="1" workbookViewId="0">
      <selection activeCell="C12" sqref="C12"/>
    </sheetView>
  </sheetViews>
  <sheetFormatPr defaultRowHeight="14.4" x14ac:dyDescent="0.25"/>
  <cols>
    <col min="3" max="3" width="10.5546875" bestFit="1" customWidth="1"/>
  </cols>
  <sheetData>
    <row r="1" spans="1:7" x14ac:dyDescent="0.25">
      <c r="A1" t="s">
        <v>65</v>
      </c>
      <c r="B1" t="s">
        <v>70</v>
      </c>
      <c r="C1" t="s">
        <v>66</v>
      </c>
    </row>
    <row r="2" spans="1:7" x14ac:dyDescent="0.25">
      <c r="A2">
        <v>23.8</v>
      </c>
      <c r="B2">
        <f>A2+273.15</f>
        <v>296.95</v>
      </c>
      <c r="C2">
        <v>0.56499999999999995</v>
      </c>
    </row>
    <row r="3" spans="1:7" x14ac:dyDescent="0.25">
      <c r="A3">
        <v>29.5</v>
      </c>
      <c r="B3">
        <f t="shared" ref="B3:B6" si="0">A3+273.15</f>
        <v>302.64999999999998</v>
      </c>
      <c r="C3">
        <v>0.55300000000000005</v>
      </c>
    </row>
    <row r="4" spans="1:7" x14ac:dyDescent="0.25">
      <c r="A4">
        <v>32.6</v>
      </c>
      <c r="B4">
        <f t="shared" si="0"/>
        <v>305.75</v>
      </c>
      <c r="C4">
        <v>0.54600000000000004</v>
      </c>
    </row>
    <row r="5" spans="1:7" x14ac:dyDescent="0.25">
      <c r="A5">
        <v>36.5</v>
      </c>
      <c r="B5">
        <f t="shared" si="0"/>
        <v>309.64999999999998</v>
      </c>
      <c r="C5">
        <v>0.53800000000000003</v>
      </c>
    </row>
    <row r="6" spans="1:7" x14ac:dyDescent="0.25">
      <c r="A6">
        <v>40</v>
      </c>
      <c r="B6">
        <f t="shared" si="0"/>
        <v>313.14999999999998</v>
      </c>
      <c r="C6">
        <v>0.52800000000000002</v>
      </c>
    </row>
    <row r="8" spans="1:7" x14ac:dyDescent="0.25">
      <c r="B8" t="s">
        <v>68</v>
      </c>
      <c r="C8">
        <f>PEARSON(B2:B6,C2:C6)</f>
        <v>-0.99830741952539104</v>
      </c>
    </row>
    <row r="9" spans="1:7" x14ac:dyDescent="0.25">
      <c r="B9" t="s">
        <v>67</v>
      </c>
      <c r="C9" s="56">
        <f>SLOPE(C2:C6,B2:B6)</f>
        <v>-2.2510640466906211E-3</v>
      </c>
      <c r="D9" t="s">
        <v>71</v>
      </c>
    </row>
    <row r="10" spans="1:7" x14ac:dyDescent="0.25">
      <c r="B10" t="s">
        <v>69</v>
      </c>
      <c r="C10">
        <f>INTERCEPT(C2:C6,B2:B6)</f>
        <v>1.2339927045900545</v>
      </c>
      <c r="D10" t="s">
        <v>46</v>
      </c>
      <c r="E10" t="s">
        <v>72</v>
      </c>
      <c r="F10">
        <v>1.21</v>
      </c>
      <c r="G10" t="s">
        <v>73</v>
      </c>
    </row>
    <row r="11" spans="1:7" x14ac:dyDescent="0.25">
      <c r="B11" t="s">
        <v>74</v>
      </c>
      <c r="C11">
        <f>C10</f>
        <v>1.2339927045900545</v>
      </c>
      <c r="D11" t="s">
        <v>73</v>
      </c>
    </row>
    <row r="12" spans="1:7" x14ac:dyDescent="0.25">
      <c r="B12" t="s">
        <v>22</v>
      </c>
      <c r="C12" s="57">
        <f>ABS(C11-F10)/F10</f>
        <v>1.9828681479383915E-2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10Ω</vt:lpstr>
      <vt:lpstr>1000Ω新</vt:lpstr>
      <vt:lpstr>二极管新 (2)</vt:lpstr>
      <vt:lpstr>PN结1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2025-04-16T04:17:53Z</dcterms:created>
  <dcterms:modified xsi:type="dcterms:W3CDTF">2025-04-21T10:30:24Z</dcterms:modified>
</cp:coreProperties>
</file>