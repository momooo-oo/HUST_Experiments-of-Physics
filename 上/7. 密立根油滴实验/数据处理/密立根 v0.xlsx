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7. 密立根油滴实验\数据处理\"/>
    </mc:Choice>
  </mc:AlternateContent>
  <xr:revisionPtr revIDLastSave="0" documentId="13_ncr:1_{035FC86B-5AB3-4099-81A8-00428476C22E}" xr6:coauthVersionLast="47" xr6:coauthVersionMax="47" xr10:uidLastSave="{00000000-0000-0000-0000-000000000000}"/>
  <bookViews>
    <workbookView xWindow="-108" yWindow="-108" windowWidth="23256" windowHeight="13896" activeTab="1" xr2:uid="{BD725C13-F00C-4C61-903D-DC6270AE08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2" l="1"/>
  <c r="R12" i="2"/>
  <c r="R13" i="2"/>
  <c r="C8" i="2"/>
  <c r="N8" i="2"/>
  <c r="P8" i="2" s="1"/>
  <c r="Q8" i="2" s="1"/>
  <c r="R8" i="2" s="1"/>
  <c r="O8" i="2"/>
  <c r="C4" i="2"/>
  <c r="C5" i="2"/>
  <c r="C6" i="2"/>
  <c r="C7" i="2"/>
  <c r="C3" i="2"/>
  <c r="N4" i="2"/>
  <c r="N5" i="2"/>
  <c r="N6" i="2"/>
  <c r="N7" i="2"/>
  <c r="K3" i="1"/>
  <c r="K4" i="1"/>
  <c r="K5" i="1"/>
  <c r="K6" i="1"/>
  <c r="K7" i="1"/>
  <c r="K8" i="1"/>
  <c r="O8" i="1" s="1"/>
  <c r="K9" i="1"/>
  <c r="O9" i="1" s="1"/>
  <c r="K10" i="1"/>
  <c r="O10" i="1" s="1"/>
  <c r="K11" i="1"/>
  <c r="O11" i="1" s="1"/>
  <c r="K2" i="1"/>
  <c r="O7" i="1"/>
  <c r="H6" i="1"/>
  <c r="O7" i="2"/>
  <c r="C18" i="2"/>
  <c r="C16" i="2"/>
  <c r="C15" i="2"/>
  <c r="C13" i="2"/>
  <c r="E12" i="2"/>
  <c r="P6" i="2" s="1"/>
  <c r="O3" i="2"/>
  <c r="O4" i="2"/>
  <c r="O5" i="2"/>
  <c r="O6" i="2"/>
  <c r="N3" i="2"/>
  <c r="O3" i="1"/>
  <c r="O4" i="1"/>
  <c r="O5" i="1"/>
  <c r="S8" i="2" l="1"/>
  <c r="P5" i="2"/>
  <c r="Q5" i="2" s="1"/>
  <c r="R5" i="2" s="1"/>
  <c r="P4" i="2"/>
  <c r="Q4" i="2" s="1"/>
  <c r="R4" i="2" s="1"/>
  <c r="S4" i="2" s="1"/>
  <c r="U4" i="2" s="1"/>
  <c r="Q6" i="2"/>
  <c r="R6" i="2" s="1"/>
  <c r="S5" i="2"/>
  <c r="U5" i="2" s="1"/>
  <c r="S6" i="2"/>
  <c r="U6" i="2" s="1"/>
  <c r="O2" i="1"/>
  <c r="P3" i="2"/>
  <c r="Q3" i="2" s="1"/>
  <c r="P7" i="2"/>
  <c r="Q7" i="2" s="1"/>
  <c r="R7" i="2" s="1"/>
  <c r="S7" i="2" s="1"/>
  <c r="U7" i="2" s="1"/>
  <c r="T8" i="2" l="1"/>
  <c r="O12" i="2" s="1"/>
  <c r="U8" i="2"/>
  <c r="T4" i="2"/>
  <c r="T5" i="2"/>
  <c r="T6" i="2"/>
  <c r="T7" i="2"/>
  <c r="R3" i="2"/>
  <c r="S3" i="2" s="1"/>
  <c r="U3" i="2" s="1"/>
  <c r="O13" i="2" l="1"/>
  <c r="T3" i="2"/>
  <c r="O15" i="2" l="1"/>
  <c r="L3" i="1" l="1"/>
  <c r="L5" i="1"/>
  <c r="L7" i="1"/>
  <c r="L8" i="1"/>
  <c r="L9" i="1"/>
  <c r="L10" i="1"/>
  <c r="L11" i="1"/>
  <c r="L2" i="1"/>
  <c r="B21" i="1"/>
  <c r="J3" i="1"/>
  <c r="J4" i="1"/>
  <c r="J5" i="1"/>
  <c r="J7" i="1"/>
  <c r="J8" i="1"/>
  <c r="J9" i="1"/>
  <c r="J10" i="1"/>
  <c r="J11" i="1"/>
  <c r="J2" i="1"/>
  <c r="I3" i="1"/>
  <c r="I4" i="1"/>
  <c r="I5" i="1"/>
  <c r="I7" i="1"/>
  <c r="I8" i="1"/>
  <c r="I9" i="1"/>
  <c r="I10" i="1"/>
  <c r="I11" i="1"/>
  <c r="I2" i="1"/>
  <c r="D15" i="1"/>
  <c r="B19" i="1"/>
  <c r="B18" i="1"/>
  <c r="B16" i="1"/>
  <c r="H3" i="1"/>
  <c r="H4" i="1"/>
  <c r="H5" i="1"/>
  <c r="H7" i="1"/>
  <c r="H8" i="1"/>
  <c r="H9" i="1"/>
  <c r="H10" i="1"/>
  <c r="H11" i="1"/>
  <c r="H2" i="1"/>
  <c r="M8" i="1" l="1"/>
  <c r="N8" i="1"/>
  <c r="M10" i="1"/>
  <c r="N10" i="1"/>
  <c r="M9" i="1"/>
  <c r="N9" i="1"/>
  <c r="N5" i="1"/>
  <c r="M5" i="1"/>
  <c r="N11" i="1"/>
  <c r="M11" i="1"/>
  <c r="N3" i="1"/>
  <c r="M3" i="1"/>
  <c r="M2" i="1"/>
  <c r="N2" i="1"/>
  <c r="N7" i="1"/>
  <c r="M7" i="1"/>
  <c r="I6" i="1"/>
  <c r="J6" i="1" s="1"/>
  <c r="O6" i="1"/>
  <c r="L6" i="1"/>
  <c r="M6" i="1" s="1"/>
  <c r="L4" i="1"/>
  <c r="N4" i="1" s="1"/>
  <c r="K16" i="1"/>
  <c r="N6" i="1" l="1"/>
  <c r="K17" i="1" s="1"/>
  <c r="H14" i="1"/>
  <c r="H13" i="1"/>
  <c r="H16" i="1" s="1"/>
  <c r="K21" i="1"/>
  <c r="K14" i="1"/>
  <c r="M4" i="1"/>
  <c r="K15" i="1" s="1"/>
  <c r="K19" i="1" l="1"/>
  <c r="K20" i="1" s="1"/>
</calcChain>
</file>

<file path=xl/sharedStrings.xml><?xml version="1.0" encoding="utf-8"?>
<sst xmlns="http://schemas.openxmlformats.org/spreadsheetml/2006/main" count="99" uniqueCount="65">
  <si>
    <t>#</t>
    <phoneticPr fontId="1" type="noConversion"/>
  </si>
  <si>
    <t>U/V</t>
    <phoneticPr fontId="1" type="noConversion"/>
  </si>
  <si>
    <t>t1</t>
    <phoneticPr fontId="1" type="noConversion"/>
  </si>
  <si>
    <t>t2</t>
    <phoneticPr fontId="1" type="noConversion"/>
  </si>
  <si>
    <t>t3</t>
  </si>
  <si>
    <t>t4</t>
  </si>
  <si>
    <t>t5</t>
  </si>
  <si>
    <t>t1/s</t>
    <phoneticPr fontId="1" type="noConversion"/>
  </si>
  <si>
    <t>t2/s</t>
    <phoneticPr fontId="1" type="noConversion"/>
  </si>
  <si>
    <t>t3/s</t>
    <phoneticPr fontId="1" type="noConversion"/>
  </si>
  <si>
    <t>t4/s</t>
    <phoneticPr fontId="1" type="noConversion"/>
  </si>
  <si>
    <t>t5/s</t>
    <phoneticPr fontId="1" type="noConversion"/>
  </si>
  <si>
    <t>tg bar/s</t>
    <phoneticPr fontId="1" type="noConversion"/>
  </si>
  <si>
    <t>t1下</t>
    <phoneticPr fontId="1" type="noConversion"/>
  </si>
  <si>
    <t>t1上</t>
    <phoneticPr fontId="1" type="noConversion"/>
  </si>
  <si>
    <t>t2下</t>
    <phoneticPr fontId="1" type="noConversion"/>
  </si>
  <si>
    <t>t2上</t>
    <phoneticPr fontId="1" type="noConversion"/>
  </si>
  <si>
    <t>t3下</t>
    <phoneticPr fontId="1" type="noConversion"/>
  </si>
  <si>
    <t>t3上</t>
    <phoneticPr fontId="1" type="noConversion"/>
  </si>
  <si>
    <t>t4下</t>
    <phoneticPr fontId="1" type="noConversion"/>
  </si>
  <si>
    <t>t4上</t>
    <phoneticPr fontId="1" type="noConversion"/>
  </si>
  <si>
    <t>t5下</t>
    <phoneticPr fontId="1" type="noConversion"/>
  </si>
  <si>
    <t>t5上</t>
    <phoneticPr fontId="1" type="noConversion"/>
  </si>
  <si>
    <t>ρ</t>
    <phoneticPr fontId="1" type="noConversion"/>
  </si>
  <si>
    <t>g</t>
    <phoneticPr fontId="1" type="noConversion"/>
  </si>
  <si>
    <t>l</t>
    <phoneticPr fontId="1" type="noConversion"/>
  </si>
  <si>
    <t>η</t>
  </si>
  <si>
    <t>p</t>
    <phoneticPr fontId="1" type="noConversion"/>
  </si>
  <si>
    <t>b</t>
    <phoneticPr fontId="1" type="noConversion"/>
  </si>
  <si>
    <t>d</t>
    <phoneticPr fontId="1" type="noConversion"/>
  </si>
  <si>
    <t>vg m/s</t>
    <phoneticPr fontId="1" type="noConversion"/>
  </si>
  <si>
    <t>kg/(m^3)</t>
    <phoneticPr fontId="1" type="noConversion"/>
  </si>
  <si>
    <t>m/(s^2)</t>
    <phoneticPr fontId="1" type="noConversion"/>
  </si>
  <si>
    <r>
      <rPr>
        <sz val="11"/>
        <color theme="1"/>
        <rFont val="宋体"/>
        <family val="3"/>
        <charset val="134"/>
      </rPr>
      <t>kg/(m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3"/>
        <charset val="134"/>
      </rPr>
      <t>s)</t>
    </r>
    <phoneticPr fontId="1" type="noConversion"/>
  </si>
  <si>
    <t>cmHg</t>
    <phoneticPr fontId="1" type="noConversion"/>
  </si>
  <si>
    <t>m</t>
    <phoneticPr fontId="1" type="noConversion"/>
  </si>
  <si>
    <r>
      <rPr>
        <sz val="11"/>
        <color theme="1"/>
        <rFont val="宋体"/>
        <family val="3"/>
        <charset val="134"/>
      </rPr>
      <t>m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3"/>
        <charset val="134"/>
      </rPr>
      <t>cmHg</t>
    </r>
    <phoneticPr fontId="1" type="noConversion"/>
  </si>
  <si>
    <t>a/m</t>
    <phoneticPr fontId="1" type="noConversion"/>
  </si>
  <si>
    <t>q/C</t>
    <phoneticPr fontId="1" type="noConversion"/>
  </si>
  <si>
    <t>e</t>
    <phoneticPr fontId="1" type="noConversion"/>
  </si>
  <si>
    <t>C</t>
    <phoneticPr fontId="1" type="noConversion"/>
  </si>
  <si>
    <t>n</t>
    <phoneticPr fontId="1" type="noConversion"/>
  </si>
  <si>
    <t>mm    =</t>
    <phoneticPr fontId="1" type="noConversion"/>
  </si>
  <si>
    <t>直线截距b</t>
    <phoneticPr fontId="1" type="noConversion"/>
  </si>
  <si>
    <t>直线斜率k（即e测）</t>
    <phoneticPr fontId="1" type="noConversion"/>
  </si>
  <si>
    <t>x bar</t>
    <phoneticPr fontId="1" type="noConversion"/>
  </si>
  <si>
    <t>x^2 bar</t>
    <phoneticPr fontId="1" type="noConversion"/>
  </si>
  <si>
    <t>y bar</t>
    <phoneticPr fontId="1" type="noConversion"/>
  </si>
  <si>
    <t>xy bar</t>
    <phoneticPr fontId="1" type="noConversion"/>
  </si>
  <si>
    <t>【结果如下：】</t>
    <phoneticPr fontId="1" type="noConversion"/>
  </si>
  <si>
    <t>k</t>
    <phoneticPr fontId="1" type="noConversion"/>
  </si>
  <si>
    <t>r</t>
    <phoneticPr fontId="1" type="noConversion"/>
  </si>
  <si>
    <t>n^2</t>
    <phoneticPr fontId="1" type="noConversion"/>
  </si>
  <si>
    <t>q*n</t>
    <phoneticPr fontId="1" type="noConversion"/>
  </si>
  <si>
    <t>相对误差Ur</t>
    <phoneticPr fontId="1" type="noConversion"/>
  </si>
  <si>
    <t>q/(*10^(-18)C)</t>
    <phoneticPr fontId="1" type="noConversion"/>
  </si>
  <si>
    <t>tg</t>
    <phoneticPr fontId="1" type="noConversion"/>
  </si>
  <si>
    <t>te</t>
    <phoneticPr fontId="1" type="noConversion"/>
  </si>
  <si>
    <t>avg</t>
    <phoneticPr fontId="1" type="noConversion"/>
  </si>
  <si>
    <t>K</t>
    <phoneticPr fontId="1" type="noConversion"/>
  </si>
  <si>
    <t>a</t>
    <phoneticPr fontId="1" type="noConversion"/>
  </si>
  <si>
    <t>vg(m/s)</t>
    <phoneticPr fontId="1" type="noConversion"/>
  </si>
  <si>
    <t>q</t>
    <phoneticPr fontId="1" type="noConversion"/>
  </si>
  <si>
    <t>上升电压</t>
    <phoneticPr fontId="1" type="noConversion"/>
  </si>
  <si>
    <t>平衡电压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</si>
</sst>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color theme="1"/>
      <name val="宋体"/>
      <family val="2"/>
      <charset val="134"/>
    </font>
    <font>
      <b/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11" fontId="0" fillId="0" borderId="0" xfId="0" applyNumberForma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6" fillId="2" borderId="1" xfId="0" applyFont="1" applyFill="1" applyBorder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2" fontId="0" fillId="2" borderId="0" xfId="0" applyNumberFormat="1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10" fontId="0" fillId="2" borderId="0" xfId="1" applyNumberFormat="1" applyFont="1" applyFill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>
      <alignment vertical="center"/>
    </xf>
    <xf numFmtId="176" fontId="0" fillId="2" borderId="0" xfId="0" applyNumberForma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q/(*10^(-18)C)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Sheet1!$L$2:$L$11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</c:numCache>
            </c:numRef>
          </c:xVal>
          <c:yVal>
            <c:numRef>
              <c:f>Sheet1!$O$2:$O$11</c:f>
              <c:numCache>
                <c:formatCode>0.00</c:formatCode>
                <c:ptCount val="10"/>
                <c:pt idx="0">
                  <c:v>0.45823272676740934</c:v>
                </c:pt>
                <c:pt idx="1">
                  <c:v>0.22734047413163816</c:v>
                </c:pt>
                <c:pt idx="2">
                  <c:v>1.0345388815480383</c:v>
                </c:pt>
                <c:pt idx="3">
                  <c:v>0.7769468412170224</c:v>
                </c:pt>
                <c:pt idx="4">
                  <c:v>0.3960426678323673</c:v>
                </c:pt>
                <c:pt idx="5">
                  <c:v>0.31362955883169535</c:v>
                </c:pt>
                <c:pt idx="6">
                  <c:v>0.33564991647613041</c:v>
                </c:pt>
                <c:pt idx="7">
                  <c:v>0.29368387360947784</c:v>
                </c:pt>
                <c:pt idx="8">
                  <c:v>0.48934294493622055</c:v>
                </c:pt>
                <c:pt idx="9">
                  <c:v>0.66761206488779079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1C-4C5D-A81F-51C4D370B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83232"/>
        <c:axId val="134585632"/>
      </c:scatterChart>
      <c:valAx>
        <c:axId val="13458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5632"/>
        <c:crosses val="autoZero"/>
        <c:crossBetween val="midCat"/>
      </c:valAx>
      <c:valAx>
        <c:axId val="1345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Sheet2!$U$2</c:f>
              <c:strCache>
                <c:ptCount val="1"/>
                <c:pt idx="0">
                  <c:v>q/(*10^(-18)C)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Sheet2!$T$3:$T$8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xVal>
          <c:yVal>
            <c:numRef>
              <c:f>Sheet2!$U$3:$U$8</c:f>
              <c:numCache>
                <c:formatCode>0.00</c:formatCode>
                <c:ptCount val="6"/>
                <c:pt idx="0">
                  <c:v>0.66685756206334545</c:v>
                </c:pt>
                <c:pt idx="1">
                  <c:v>0.67071531286760266</c:v>
                </c:pt>
                <c:pt idx="2">
                  <c:v>0.47571906593319252</c:v>
                </c:pt>
                <c:pt idx="3">
                  <c:v>0.47222582818235209</c:v>
                </c:pt>
                <c:pt idx="4">
                  <c:v>0.19072503812196914</c:v>
                </c:pt>
                <c:pt idx="5">
                  <c:v>0.32505323525282187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D-4BE7-8FF7-27A62C21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574800"/>
        <c:axId val="1317575280"/>
      </c:scatterChart>
      <c:valAx>
        <c:axId val="131757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75280"/>
        <c:crosses val="autoZero"/>
        <c:crossBetween val="midCat"/>
      </c:valAx>
      <c:valAx>
        <c:axId val="13175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57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445770</xdr:colOff>
      <xdr:row>12</xdr:row>
      <xdr:rowOff>22860</xdr:rowOff>
    </xdr:from>
    <xdr:to>
      <xdr:col>20</xdr:col>
      <xdr:colOff>140970</xdr:colOff>
      <xdr:row>27</xdr:row>
      <xdr:rowOff>22860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10F70C-D0AA-1EBD-B1B6-BA34BDA1F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297180</xdr:colOff>
      <xdr:row>15</xdr:row>
      <xdr:rowOff>91440</xdr:rowOff>
    </xdr:from>
    <xdr:to>
      <xdr:col>19</xdr:col>
      <xdr:colOff>125730</xdr:colOff>
      <xdr:row>27</xdr:row>
      <xdr:rowOff>175260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696204-93DF-0F70-503E-697F62A12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E054-42F8-4FEB-8B6B-969F59995AC4}">
  <dimension ref="A1:O21"/>
  <sheetViews>
    <sheetView workbookViewId="0">
      <selection activeCell="G3" sqref="G3"/>
    </sheetView>
  </sheetViews>
  <sheetFormatPr defaultRowHeight="14.4" x14ac:dyDescent="0.25"/>
  <cols>
    <col min="1" max="1" width="4.33203125" customWidth="1"/>
    <col min="2" max="2" width="12.77734375" bestFit="1" customWidth="1"/>
    <col min="8" max="10" width="12.77734375" bestFit="1" customWidth="1"/>
    <col min="11" max="11" width="11.6640625" customWidth="1"/>
    <col min="12" max="12" width="7.77734375" customWidth="1"/>
    <col min="14" max="14" width="9.5546875" bestFit="1" customWidth="1"/>
    <col min="15" max="15" width="10.5546875" bestFit="1" customWidth="1"/>
  </cols>
  <sheetData>
    <row r="1" spans="1:15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30</v>
      </c>
      <c r="J1" t="s">
        <v>37</v>
      </c>
      <c r="K1" t="s">
        <v>38</v>
      </c>
      <c r="L1" t="s">
        <v>41</v>
      </c>
      <c r="M1" t="s">
        <v>52</v>
      </c>
      <c r="N1" t="s">
        <v>53</v>
      </c>
      <c r="O1" t="s">
        <v>55</v>
      </c>
    </row>
    <row r="2" spans="1:15" x14ac:dyDescent="0.25">
      <c r="A2">
        <v>1</v>
      </c>
      <c r="B2" s="10">
        <v>144</v>
      </c>
      <c r="C2" s="11">
        <v>24.6</v>
      </c>
      <c r="D2" s="11">
        <v>24.1</v>
      </c>
      <c r="E2" s="11">
        <v>24.5</v>
      </c>
      <c r="F2" s="11">
        <v>24.1</v>
      </c>
      <c r="G2" s="11">
        <v>24.3</v>
      </c>
      <c r="H2" s="6">
        <f>AVERAGE(C2:G2)</f>
        <v>24.32</v>
      </c>
      <c r="I2">
        <f>$D$15/H2</f>
        <v>6.167763157894737E-5</v>
      </c>
      <c r="J2">
        <f>SQRT(9*$B$16*I2/(2*$B$13*$B$14))</f>
        <v>7.2704103251132845E-7</v>
      </c>
      <c r="K2" s="2">
        <f>(18*PI()/(SQRT(2*$B$13*$B$14)))*(($B$16*$D$15/(H2*(1+$B$18/($B$17*J2))))^(3/2))*($B$19/B2)</f>
        <v>4.5823272676740933E-19</v>
      </c>
      <c r="L2">
        <f>ROUND(K2/$B$21,0)</f>
        <v>3</v>
      </c>
      <c r="M2" s="4">
        <f>L2^2</f>
        <v>9</v>
      </c>
      <c r="N2" s="2">
        <f>K2*L2</f>
        <v>1.3746981803022279E-18</v>
      </c>
      <c r="O2" s="9">
        <f>K2*10^18</f>
        <v>0.45823272676740934</v>
      </c>
    </row>
    <row r="3" spans="1:15" x14ac:dyDescent="0.25">
      <c r="A3">
        <v>2</v>
      </c>
      <c r="B3" s="10">
        <v>140</v>
      </c>
      <c r="C3" s="11">
        <v>38</v>
      </c>
      <c r="D3" s="11">
        <v>38.1</v>
      </c>
      <c r="E3" s="11">
        <v>39.1</v>
      </c>
      <c r="F3" s="11">
        <v>38.5</v>
      </c>
      <c r="G3" s="11">
        <v>39</v>
      </c>
      <c r="H3" s="6">
        <f t="shared" ref="H3:H11" si="0">AVERAGE(C3:G3)</f>
        <v>38.54</v>
      </c>
      <c r="I3">
        <f t="shared" ref="I3:I11" si="1">$D$15/H3</f>
        <v>3.8920601971977169E-5</v>
      </c>
      <c r="J3">
        <f t="shared" ref="J3:J11" si="2">SQRT(9*$B$16*I3/(2*$B$13*$B$14))</f>
        <v>5.7754370192689058E-7</v>
      </c>
      <c r="K3" s="2">
        <f t="shared" ref="K3:K11" si="3">(18*PI()/(SQRT(2*$B$13*$B$14)))*(($B$16*$D$15/(H3*(1+$B$18/($B$17*J3))))^(3/2))*($B$19/B3)</f>
        <v>2.2734047413163815E-19</v>
      </c>
      <c r="L3">
        <f t="shared" ref="L3:L11" si="4">ROUND(K3/$B$21,0)</f>
        <v>1</v>
      </c>
      <c r="M3" s="4">
        <f t="shared" ref="M3:M11" si="5">L3^2</f>
        <v>1</v>
      </c>
      <c r="N3" s="2">
        <f t="shared" ref="N3:N11" si="6">K3*L3</f>
        <v>2.2734047413163815E-19</v>
      </c>
      <c r="O3" s="9">
        <f t="shared" ref="O3:O11" si="7">K3*10^18</f>
        <v>0.22734047413163816</v>
      </c>
    </row>
    <row r="4" spans="1:15" x14ac:dyDescent="0.25">
      <c r="A4">
        <v>3</v>
      </c>
      <c r="B4" s="10">
        <v>156</v>
      </c>
      <c r="C4" s="11">
        <v>14</v>
      </c>
      <c r="D4" s="11">
        <v>13.6</v>
      </c>
      <c r="E4" s="11">
        <v>13.5</v>
      </c>
      <c r="F4" s="11">
        <v>14</v>
      </c>
      <c r="G4" s="11">
        <v>13.6</v>
      </c>
      <c r="H4" s="6">
        <f t="shared" si="0"/>
        <v>13.74</v>
      </c>
      <c r="I4">
        <f t="shared" si="1"/>
        <v>1.091703056768559E-4</v>
      </c>
      <c r="J4">
        <f t="shared" si="2"/>
        <v>9.6726915984575718E-7</v>
      </c>
      <c r="K4" s="2">
        <f t="shared" si="3"/>
        <v>1.0345388815480382E-18</v>
      </c>
      <c r="L4">
        <f t="shared" si="4"/>
        <v>6</v>
      </c>
      <c r="M4" s="4">
        <f t="shared" si="5"/>
        <v>36</v>
      </c>
      <c r="N4" s="2">
        <f t="shared" si="6"/>
        <v>6.2072332892882297E-18</v>
      </c>
      <c r="O4" s="9">
        <f t="shared" si="7"/>
        <v>1.0345388815480383</v>
      </c>
    </row>
    <row r="5" spans="1:15" x14ac:dyDescent="0.25">
      <c r="A5">
        <v>4</v>
      </c>
      <c r="B5" s="10">
        <v>191</v>
      </c>
      <c r="C5" s="11">
        <v>14.5</v>
      </c>
      <c r="D5" s="11">
        <v>14.4</v>
      </c>
      <c r="E5" s="11">
        <v>14.4</v>
      </c>
      <c r="F5" s="11">
        <v>14.5</v>
      </c>
      <c r="G5" s="11">
        <v>14.7</v>
      </c>
      <c r="H5" s="6">
        <f t="shared" si="0"/>
        <v>14.5</v>
      </c>
      <c r="I5">
        <f t="shared" si="1"/>
        <v>1.0344827586206896E-4</v>
      </c>
      <c r="J5">
        <f t="shared" si="2"/>
        <v>9.4157887515740682E-7</v>
      </c>
      <c r="K5" s="2">
        <f t="shared" si="3"/>
        <v>7.7694684121702241E-19</v>
      </c>
      <c r="L5">
        <f t="shared" si="4"/>
        <v>5</v>
      </c>
      <c r="M5" s="4">
        <f t="shared" si="5"/>
        <v>25</v>
      </c>
      <c r="N5" s="2">
        <f t="shared" si="6"/>
        <v>3.8847342060851123E-18</v>
      </c>
      <c r="O5" s="9">
        <f t="shared" si="7"/>
        <v>0.7769468412170224</v>
      </c>
    </row>
    <row r="6" spans="1:15" x14ac:dyDescent="0.25">
      <c r="A6">
        <v>5</v>
      </c>
      <c r="B6" s="10">
        <v>178</v>
      </c>
      <c r="C6" s="11">
        <v>23.3</v>
      </c>
      <c r="D6" s="11">
        <v>23.3</v>
      </c>
      <c r="E6" s="11">
        <v>23.7</v>
      </c>
      <c r="F6" s="11">
        <v>23.1</v>
      </c>
      <c r="G6" s="11">
        <v>23.2</v>
      </c>
      <c r="H6" s="6">
        <f t="shared" si="0"/>
        <v>23.32</v>
      </c>
      <c r="I6">
        <f t="shared" si="1"/>
        <v>6.4322469982847343E-5</v>
      </c>
      <c r="J6">
        <f t="shared" si="2"/>
        <v>7.4246576703976195E-7</v>
      </c>
      <c r="K6" s="2">
        <f t="shared" si="3"/>
        <v>3.9604266783236731E-19</v>
      </c>
      <c r="L6">
        <f t="shared" si="4"/>
        <v>2</v>
      </c>
      <c r="M6" s="4">
        <f t="shared" si="5"/>
        <v>4</v>
      </c>
      <c r="N6" s="2">
        <f t="shared" si="6"/>
        <v>7.9208533566473461E-19</v>
      </c>
      <c r="O6" s="9">
        <f t="shared" si="7"/>
        <v>0.3960426678323673</v>
      </c>
    </row>
    <row r="7" spans="1:15" x14ac:dyDescent="0.25">
      <c r="A7">
        <v>6</v>
      </c>
      <c r="B7" s="10">
        <v>129</v>
      </c>
      <c r="C7" s="11">
        <v>32.700000000000003</v>
      </c>
      <c r="D7" s="11">
        <v>32.9</v>
      </c>
      <c r="E7" s="11">
        <v>33.799999999999997</v>
      </c>
      <c r="F7" s="11">
        <v>33.9</v>
      </c>
      <c r="G7" s="11">
        <v>32.4</v>
      </c>
      <c r="H7" s="6">
        <f t="shared" si="0"/>
        <v>33.14</v>
      </c>
      <c r="I7">
        <f t="shared" si="1"/>
        <v>4.5262522631261315E-5</v>
      </c>
      <c r="J7">
        <f t="shared" si="2"/>
        <v>6.2282273224063039E-7</v>
      </c>
      <c r="K7" s="2">
        <f t="shared" si="3"/>
        <v>3.1362955883169537E-19</v>
      </c>
      <c r="L7">
        <f t="shared" si="4"/>
        <v>2</v>
      </c>
      <c r="M7" s="4">
        <f t="shared" si="5"/>
        <v>4</v>
      </c>
      <c r="N7" s="2">
        <f t="shared" si="6"/>
        <v>6.2725911766339073E-19</v>
      </c>
      <c r="O7" s="9">
        <f t="shared" si="7"/>
        <v>0.31362955883169535</v>
      </c>
    </row>
    <row r="8" spans="1:15" x14ac:dyDescent="0.25">
      <c r="A8">
        <v>7</v>
      </c>
      <c r="B8" s="10">
        <v>121</v>
      </c>
      <c r="C8" s="11">
        <v>33.4</v>
      </c>
      <c r="D8" s="11">
        <v>33.5</v>
      </c>
      <c r="E8" s="11">
        <v>32.299999999999997</v>
      </c>
      <c r="F8" s="11">
        <v>33.4</v>
      </c>
      <c r="G8" s="11">
        <v>32.700000000000003</v>
      </c>
      <c r="H8" s="6">
        <f t="shared" si="0"/>
        <v>33.06</v>
      </c>
      <c r="I8">
        <f t="shared" si="1"/>
        <v>4.5372050816696912E-5</v>
      </c>
      <c r="J8">
        <f t="shared" si="2"/>
        <v>6.2357584343744634E-7</v>
      </c>
      <c r="K8" s="2">
        <f t="shared" si="3"/>
        <v>3.3564991647613042E-19</v>
      </c>
      <c r="L8">
        <f t="shared" si="4"/>
        <v>2</v>
      </c>
      <c r="M8" s="4">
        <f t="shared" si="5"/>
        <v>4</v>
      </c>
      <c r="N8" s="2">
        <f t="shared" si="6"/>
        <v>6.7129983295226084E-19</v>
      </c>
      <c r="O8" s="9">
        <f t="shared" si="7"/>
        <v>0.33564991647613041</v>
      </c>
    </row>
    <row r="9" spans="1:15" x14ac:dyDescent="0.25">
      <c r="A9">
        <v>8</v>
      </c>
      <c r="B9" s="10">
        <v>208</v>
      </c>
      <c r="C9" s="11">
        <v>25.1</v>
      </c>
      <c r="D9" s="11">
        <v>24.9</v>
      </c>
      <c r="E9" s="11">
        <v>25.8</v>
      </c>
      <c r="F9" s="11">
        <v>26.3</v>
      </c>
      <c r="G9" s="11">
        <v>25.6</v>
      </c>
      <c r="H9" s="6">
        <f t="shared" si="0"/>
        <v>25.54</v>
      </c>
      <c r="I9">
        <f t="shared" si="1"/>
        <v>5.8731401722787784E-5</v>
      </c>
      <c r="J9">
        <f t="shared" si="2"/>
        <v>7.0946383306379093E-7</v>
      </c>
      <c r="K9" s="2">
        <f t="shared" si="3"/>
        <v>2.9368387360947786E-19</v>
      </c>
      <c r="L9">
        <f t="shared" si="4"/>
        <v>2</v>
      </c>
      <c r="M9" s="4">
        <f t="shared" si="5"/>
        <v>4</v>
      </c>
      <c r="N9" s="2">
        <f t="shared" si="6"/>
        <v>5.8736774721895572E-19</v>
      </c>
      <c r="O9" s="9">
        <f t="shared" si="7"/>
        <v>0.29368387360947784</v>
      </c>
    </row>
    <row r="10" spans="1:15" x14ac:dyDescent="0.25">
      <c r="A10">
        <v>9</v>
      </c>
      <c r="B10" s="10">
        <v>155</v>
      </c>
      <c r="C10" s="11">
        <v>22</v>
      </c>
      <c r="D10" s="11">
        <v>22.3</v>
      </c>
      <c r="E10" s="11">
        <v>22.4</v>
      </c>
      <c r="F10" s="11">
        <v>22.1</v>
      </c>
      <c r="G10" s="11">
        <v>22.5</v>
      </c>
      <c r="H10" s="6">
        <f t="shared" si="0"/>
        <v>22.259999999999998</v>
      </c>
      <c r="I10">
        <f t="shared" si="1"/>
        <v>6.7385444743935316E-5</v>
      </c>
      <c r="J10">
        <f t="shared" si="2"/>
        <v>7.5993794029107674E-7</v>
      </c>
      <c r="K10" s="2">
        <f t="shared" si="3"/>
        <v>4.8934294493622053E-19</v>
      </c>
      <c r="L10">
        <f t="shared" si="4"/>
        <v>3</v>
      </c>
      <c r="M10" s="4">
        <f t="shared" si="5"/>
        <v>9</v>
      </c>
      <c r="N10" s="2">
        <f t="shared" si="6"/>
        <v>1.4680288348086616E-18</v>
      </c>
      <c r="O10" s="9">
        <f t="shared" si="7"/>
        <v>0.48934294493622055</v>
      </c>
    </row>
    <row r="11" spans="1:15" x14ac:dyDescent="0.25">
      <c r="A11">
        <v>10</v>
      </c>
      <c r="B11" s="10">
        <v>158</v>
      </c>
      <c r="C11" s="11">
        <v>18</v>
      </c>
      <c r="D11" s="11">
        <v>17.899999999999999</v>
      </c>
      <c r="E11" s="11">
        <v>17.8</v>
      </c>
      <c r="F11" s="11">
        <v>18</v>
      </c>
      <c r="G11" s="11">
        <v>18.5</v>
      </c>
      <c r="H11" s="6">
        <f t="shared" si="0"/>
        <v>18.04</v>
      </c>
      <c r="I11">
        <f t="shared" si="1"/>
        <v>8.3148558758314856E-5</v>
      </c>
      <c r="J11">
        <f t="shared" si="2"/>
        <v>8.4415547358573371E-7</v>
      </c>
      <c r="K11" s="2">
        <f t="shared" si="3"/>
        <v>6.6761206488779077E-19</v>
      </c>
      <c r="L11">
        <f t="shared" si="4"/>
        <v>4</v>
      </c>
      <c r="M11" s="4">
        <f t="shared" si="5"/>
        <v>16</v>
      </c>
      <c r="N11" s="2">
        <f t="shared" si="6"/>
        <v>2.6704482595511631E-18</v>
      </c>
      <c r="O11" s="9">
        <f t="shared" si="7"/>
        <v>0.66761206488779079</v>
      </c>
    </row>
    <row r="13" spans="1:15" x14ac:dyDescent="0.25">
      <c r="A13" s="1" t="s">
        <v>23</v>
      </c>
      <c r="B13">
        <v>981</v>
      </c>
      <c r="C13" t="s">
        <v>31</v>
      </c>
      <c r="G13" s="12" t="s">
        <v>44</v>
      </c>
      <c r="H13" s="13">
        <f>SLOPE(K2:K11,L2:L11)</f>
        <v>1.6051979213422738E-19</v>
      </c>
      <c r="I13" t="s">
        <v>40</v>
      </c>
    </row>
    <row r="14" spans="1:15" x14ac:dyDescent="0.25">
      <c r="A14" t="s">
        <v>24</v>
      </c>
      <c r="B14">
        <v>9.7949999999999999</v>
      </c>
      <c r="C14" t="s">
        <v>32</v>
      </c>
      <c r="G14" s="15" t="s">
        <v>43</v>
      </c>
      <c r="H14" s="16">
        <f>INTERCEPT(K2:K11,L2:L11)</f>
        <v>1.7742618621096906E-20</v>
      </c>
      <c r="I14" t="s">
        <v>40</v>
      </c>
      <c r="J14" t="s">
        <v>45</v>
      </c>
      <c r="K14">
        <f>AVERAGE(L2:L11)</f>
        <v>3</v>
      </c>
    </row>
    <row r="15" spans="1:15" x14ac:dyDescent="0.25">
      <c r="A15" t="s">
        <v>25</v>
      </c>
      <c r="B15">
        <v>1.5</v>
      </c>
      <c r="C15" t="s">
        <v>42</v>
      </c>
      <c r="D15">
        <f>B15/1000</f>
        <v>1.5E-3</v>
      </c>
      <c r="E15" t="s">
        <v>35</v>
      </c>
      <c r="G15" s="16"/>
      <c r="H15" s="16"/>
      <c r="J15" t="s">
        <v>46</v>
      </c>
      <c r="K15" s="4">
        <f>AVERAGE(M2:M11)</f>
        <v>11.2</v>
      </c>
    </row>
    <row r="16" spans="1:15" x14ac:dyDescent="0.25">
      <c r="A16" t="s">
        <v>26</v>
      </c>
      <c r="B16" s="2">
        <f>1.83*10^(-5)</f>
        <v>1.8300000000000001E-5</v>
      </c>
      <c r="C16" s="3" t="s">
        <v>33</v>
      </c>
      <c r="G16" s="12" t="s">
        <v>54</v>
      </c>
      <c r="H16" s="14">
        <f>ABS((H13-B21)/B21)</f>
        <v>1.8836343870687784E-3</v>
      </c>
      <c r="J16" t="s">
        <v>47</v>
      </c>
      <c r="K16" s="2">
        <f>AVERAGE(K2:K11)</f>
        <v>4.9930199502377903E-19</v>
      </c>
    </row>
    <row r="17" spans="1:12" x14ac:dyDescent="0.25">
      <c r="A17" t="s">
        <v>27</v>
      </c>
      <c r="B17">
        <v>76</v>
      </c>
      <c r="C17" t="s">
        <v>34</v>
      </c>
      <c r="J17" t="s">
        <v>48</v>
      </c>
      <c r="K17" s="2">
        <f>AVERAGE(N2:N11)</f>
        <v>1.8510495277666371E-18</v>
      </c>
    </row>
    <row r="18" spans="1:12" x14ac:dyDescent="0.25">
      <c r="A18" t="s">
        <v>28</v>
      </c>
      <c r="B18" s="2">
        <f>6.17*10^(-6)</f>
        <v>6.1699999999999994E-6</v>
      </c>
      <c r="C18" s="3" t="s">
        <v>36</v>
      </c>
      <c r="J18" t="s">
        <v>49</v>
      </c>
    </row>
    <row r="19" spans="1:12" x14ac:dyDescent="0.25">
      <c r="A19" t="s">
        <v>29</v>
      </c>
      <c r="B19" s="2">
        <f>5*10^(-3)</f>
        <v>5.0000000000000001E-3</v>
      </c>
      <c r="C19" t="s">
        <v>35</v>
      </c>
      <c r="J19" s="5" t="s">
        <v>50</v>
      </c>
      <c r="K19" s="5">
        <f>(K17-K14*K16)/(K15-(K14)^2)</f>
        <v>1.6051979213422733E-19</v>
      </c>
      <c r="L19" t="s">
        <v>40</v>
      </c>
    </row>
    <row r="20" spans="1:12" x14ac:dyDescent="0.25">
      <c r="J20" t="s">
        <v>28</v>
      </c>
      <c r="K20">
        <f>K16-K19*K14</f>
        <v>1.7742618621097002E-20</v>
      </c>
    </row>
    <row r="21" spans="1:12" x14ac:dyDescent="0.25">
      <c r="A21" t="s">
        <v>39</v>
      </c>
      <c r="B21">
        <f>1.60218*10^(-19)</f>
        <v>1.60218E-19</v>
      </c>
      <c r="C21" t="s">
        <v>40</v>
      </c>
      <c r="J21" t="s">
        <v>51</v>
      </c>
      <c r="K21">
        <f>PEARSON(L2:L11,K2:K11)</f>
        <v>0.98704773764457965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39C0-7558-419D-865D-C0CC8DAA30D3}">
  <dimension ref="A1:U27"/>
  <sheetViews>
    <sheetView tabSelected="1" zoomScaleNormal="100" workbookViewId="0">
      <selection activeCell="L21" sqref="L21"/>
    </sheetView>
  </sheetViews>
  <sheetFormatPr defaultRowHeight="14.4" x14ac:dyDescent="0.25"/>
  <cols>
    <col min="15" max="15" width="10.6640625" customWidth="1"/>
    <col min="16" max="16" width="12.77734375" bestFit="1" customWidth="1"/>
    <col min="18" max="18" width="14.109375" bestFit="1" customWidth="1"/>
    <col min="19" max="19" width="9.5546875" bestFit="1" customWidth="1"/>
    <col min="21" max="21" width="10.5546875" bestFit="1" customWidth="1"/>
  </cols>
  <sheetData>
    <row r="1" spans="1:21" x14ac:dyDescent="0.25">
      <c r="B1" t="s">
        <v>64</v>
      </c>
      <c r="C1" t="s">
        <v>63</v>
      </c>
      <c r="D1" s="8" t="s">
        <v>2</v>
      </c>
      <c r="E1" s="8"/>
      <c r="F1" s="8" t="s">
        <v>3</v>
      </c>
      <c r="G1" s="8"/>
      <c r="H1" s="8" t="s">
        <v>4</v>
      </c>
      <c r="I1" s="8"/>
      <c r="J1" s="8" t="s">
        <v>5</v>
      </c>
      <c r="K1" s="8"/>
      <c r="L1" s="8" t="s">
        <v>6</v>
      </c>
      <c r="M1" s="8"/>
      <c r="N1" s="8" t="s">
        <v>58</v>
      </c>
      <c r="O1" s="8"/>
      <c r="P1" s="8"/>
    </row>
    <row r="2" spans="1:21" x14ac:dyDescent="0.25">
      <c r="A2" t="s">
        <v>0</v>
      </c>
      <c r="C2" t="s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56</v>
      </c>
      <c r="O2" t="s">
        <v>57</v>
      </c>
      <c r="P2" t="s">
        <v>61</v>
      </c>
      <c r="Q2" t="s">
        <v>60</v>
      </c>
      <c r="R2" t="s">
        <v>59</v>
      </c>
      <c r="S2" t="s">
        <v>62</v>
      </c>
      <c r="T2" t="s">
        <v>41</v>
      </c>
      <c r="U2" t="s">
        <v>55</v>
      </c>
    </row>
    <row r="3" spans="1:21" x14ac:dyDescent="0.25">
      <c r="A3">
        <v>1</v>
      </c>
      <c r="B3" s="16">
        <v>180</v>
      </c>
      <c r="C3" s="13">
        <f>B3+220</f>
        <v>400</v>
      </c>
      <c r="D3" s="17">
        <v>16.7</v>
      </c>
      <c r="E3" s="17">
        <v>13</v>
      </c>
      <c r="F3" s="17">
        <v>17.2</v>
      </c>
      <c r="G3" s="17">
        <v>13</v>
      </c>
      <c r="H3" s="17">
        <v>16.899999999999999</v>
      </c>
      <c r="I3" s="17">
        <v>13</v>
      </c>
      <c r="J3" s="17">
        <v>17.2</v>
      </c>
      <c r="K3" s="17">
        <v>13.2</v>
      </c>
      <c r="L3" s="17">
        <v>16.899999999999999</v>
      </c>
      <c r="M3" s="17">
        <v>13.1</v>
      </c>
      <c r="N3" s="6">
        <f>AVERAGE(D3,F3,H3,J3,L3)</f>
        <v>16.98</v>
      </c>
      <c r="O3" s="6">
        <f>AVERAGE(E3,G3,I3,K3,M3)</f>
        <v>13.059999999999999</v>
      </c>
      <c r="P3">
        <f t="shared" ref="P3:P8" si="0">$E$12/N3</f>
        <v>8.8339222614840986E-5</v>
      </c>
      <c r="Q3">
        <f t="shared" ref="Q3:Q8" si="1">SQRT(9*$C$13*P3/(2*$C$10*$C$11))</f>
        <v>8.7010540102729907E-7</v>
      </c>
      <c r="R3" s="2">
        <f t="shared" ref="R3:R8" si="2">((18*PI()*$C$16)/SQRT(2*$C$10*$C$11))*($C$13*$E$12/(1+$C$15/($C$14*Q3)))^(3/2)</f>
        <v>8.114146585742334E-15</v>
      </c>
      <c r="S3" s="2">
        <f t="shared" ref="S3:S7" si="3">(R3/C3)*(1/O3+1/N3)*((1/N3)^(1/2))</f>
        <v>6.6685756206334546E-19</v>
      </c>
      <c r="T3">
        <f t="shared" ref="T3:T8" si="4">ROUND(S3/$C$18,0)</f>
        <v>4</v>
      </c>
      <c r="U3" s="7">
        <f>S3*10^18</f>
        <v>0.66685756206334545</v>
      </c>
    </row>
    <row r="4" spans="1:21" x14ac:dyDescent="0.25">
      <c r="A4">
        <v>2</v>
      </c>
      <c r="B4" s="16">
        <v>120</v>
      </c>
      <c r="C4" s="13">
        <f t="shared" ref="C4:C8" si="5">B4+220</f>
        <v>340</v>
      </c>
      <c r="D4" s="17">
        <v>21.6</v>
      </c>
      <c r="E4" s="17">
        <v>10.9</v>
      </c>
      <c r="F4" s="17">
        <v>22.6</v>
      </c>
      <c r="G4" s="17">
        <v>11.1</v>
      </c>
      <c r="H4" s="17">
        <v>22.6</v>
      </c>
      <c r="I4" s="17">
        <v>11</v>
      </c>
      <c r="J4" s="17">
        <v>22.7</v>
      </c>
      <c r="K4" s="17">
        <v>11.1</v>
      </c>
      <c r="L4" s="17">
        <v>22.5</v>
      </c>
      <c r="M4" s="17">
        <v>10.9</v>
      </c>
      <c r="N4" s="6">
        <f t="shared" ref="N4:N7" si="6">AVERAGE(D4,F4,H4,J4,L4)</f>
        <v>22.400000000000002</v>
      </c>
      <c r="O4" s="6">
        <f t="shared" ref="O4:O7" si="7">AVERAGE(E4,G4,I4,K4,M4)</f>
        <v>11</v>
      </c>
      <c r="P4">
        <f t="shared" si="0"/>
        <v>6.6964285714285704E-5</v>
      </c>
      <c r="Q4">
        <f t="shared" si="1"/>
        <v>7.5755941195196529E-7</v>
      </c>
      <c r="R4" s="2">
        <f t="shared" si="2"/>
        <v>7.9622422092597789E-15</v>
      </c>
      <c r="S4" s="2">
        <f t="shared" si="3"/>
        <v>6.7071531286760269E-19</v>
      </c>
      <c r="T4">
        <f t="shared" si="4"/>
        <v>4</v>
      </c>
      <c r="U4" s="7">
        <f t="shared" ref="U4:U7" si="8">S4*10^18</f>
        <v>0.67071531286760266</v>
      </c>
    </row>
    <row r="5" spans="1:21" x14ac:dyDescent="0.25">
      <c r="A5">
        <v>3</v>
      </c>
      <c r="B5" s="16">
        <v>187</v>
      </c>
      <c r="C5" s="13">
        <f t="shared" si="5"/>
        <v>407</v>
      </c>
      <c r="D5" s="17">
        <v>19.3</v>
      </c>
      <c r="E5" s="17">
        <v>18.100000000000001</v>
      </c>
      <c r="F5" s="17">
        <v>19.600000000000001</v>
      </c>
      <c r="G5" s="17">
        <v>17.899999999999999</v>
      </c>
      <c r="H5" s="17">
        <v>19.899999999999999</v>
      </c>
      <c r="I5" s="17">
        <v>18.100000000000001</v>
      </c>
      <c r="J5" s="17">
        <v>19.7</v>
      </c>
      <c r="K5" s="17">
        <v>17.7</v>
      </c>
      <c r="L5" s="17">
        <v>19.600000000000001</v>
      </c>
      <c r="M5" s="17">
        <v>17.899999999999999</v>
      </c>
      <c r="N5" s="6">
        <f t="shared" si="6"/>
        <v>19.619999999999997</v>
      </c>
      <c r="O5" s="6">
        <f t="shared" si="7"/>
        <v>17.939999999999998</v>
      </c>
      <c r="P5">
        <f t="shared" si="0"/>
        <v>7.6452599388379214E-5</v>
      </c>
      <c r="Q5">
        <f t="shared" si="1"/>
        <v>8.0945219652816407E-7</v>
      </c>
      <c r="R5" s="2">
        <f t="shared" si="2"/>
        <v>8.0369326029735163E-15</v>
      </c>
      <c r="S5" s="2">
        <f t="shared" si="3"/>
        <v>4.7571906593319251E-19</v>
      </c>
      <c r="T5">
        <f t="shared" si="4"/>
        <v>3</v>
      </c>
      <c r="U5" s="7">
        <f t="shared" si="8"/>
        <v>0.47571906593319252</v>
      </c>
    </row>
    <row r="6" spans="1:21" x14ac:dyDescent="0.25">
      <c r="A6">
        <v>4</v>
      </c>
      <c r="B6" s="16">
        <v>110</v>
      </c>
      <c r="C6" s="13">
        <f t="shared" si="5"/>
        <v>330</v>
      </c>
      <c r="D6" s="17">
        <v>29.3</v>
      </c>
      <c r="E6" s="17">
        <v>13.9</v>
      </c>
      <c r="F6" s="17">
        <v>28.9</v>
      </c>
      <c r="G6" s="17">
        <v>13.7</v>
      </c>
      <c r="H6" s="17">
        <v>28.5</v>
      </c>
      <c r="I6" s="17">
        <v>13.9</v>
      </c>
      <c r="J6" s="17">
        <v>28.7</v>
      </c>
      <c r="K6" s="17">
        <v>13.9</v>
      </c>
      <c r="L6" s="17">
        <v>28.6</v>
      </c>
      <c r="M6" s="17">
        <v>13.7</v>
      </c>
      <c r="N6" s="6">
        <f t="shared" si="6"/>
        <v>28.8</v>
      </c>
      <c r="O6" s="6">
        <f t="shared" si="7"/>
        <v>13.819999999999999</v>
      </c>
      <c r="P6">
        <f t="shared" si="0"/>
        <v>5.208333333333333E-5</v>
      </c>
      <c r="Q6">
        <f t="shared" si="1"/>
        <v>6.6810460246041087E-7</v>
      </c>
      <c r="R6" s="2">
        <f t="shared" si="2"/>
        <v>7.8099275682911702E-15</v>
      </c>
      <c r="S6" s="2">
        <f>(R6/C6)*(1/O6+1/N6)*((1/N6)^(1/2))</f>
        <v>4.7222582818235208E-19</v>
      </c>
      <c r="T6">
        <f t="shared" si="4"/>
        <v>3</v>
      </c>
      <c r="U6" s="7">
        <f t="shared" si="8"/>
        <v>0.47222582818235209</v>
      </c>
    </row>
    <row r="7" spans="1:21" x14ac:dyDescent="0.25">
      <c r="A7">
        <v>5</v>
      </c>
      <c r="B7" s="16">
        <v>187</v>
      </c>
      <c r="C7" s="13">
        <f t="shared" si="5"/>
        <v>407</v>
      </c>
      <c r="D7" s="17">
        <v>38.9</v>
      </c>
      <c r="E7" s="17">
        <v>26.5</v>
      </c>
      <c r="F7" s="17">
        <v>38.6</v>
      </c>
      <c r="G7" s="17">
        <v>26.8</v>
      </c>
      <c r="H7" s="17">
        <v>38.700000000000003</v>
      </c>
      <c r="I7" s="17">
        <v>26.4</v>
      </c>
      <c r="J7" s="17">
        <v>38.4</v>
      </c>
      <c r="K7" s="17">
        <v>26.9</v>
      </c>
      <c r="L7" s="17">
        <v>38.799999999999997</v>
      </c>
      <c r="M7" s="17">
        <v>26.5</v>
      </c>
      <c r="N7" s="6">
        <f t="shared" si="6"/>
        <v>38.679999999999993</v>
      </c>
      <c r="O7" s="6">
        <f t="shared" si="7"/>
        <v>26.619999999999997</v>
      </c>
      <c r="P7">
        <f t="shared" si="0"/>
        <v>3.8779731127197524E-5</v>
      </c>
      <c r="Q7">
        <f t="shared" si="1"/>
        <v>5.7649756161568967E-7</v>
      </c>
      <c r="R7" s="2">
        <f t="shared" si="2"/>
        <v>7.6124891663547985E-15</v>
      </c>
      <c r="S7" s="2">
        <f t="shared" si="3"/>
        <v>1.9072503812196914E-19</v>
      </c>
      <c r="T7">
        <f t="shared" si="4"/>
        <v>1</v>
      </c>
      <c r="U7" s="7">
        <f t="shared" si="8"/>
        <v>0.19072503812196914</v>
      </c>
    </row>
    <row r="8" spans="1:21" x14ac:dyDescent="0.25">
      <c r="A8">
        <v>6</v>
      </c>
      <c r="B8" s="16">
        <v>131</v>
      </c>
      <c r="C8" s="13">
        <f t="shared" si="5"/>
        <v>351</v>
      </c>
      <c r="D8" s="17">
        <v>33.4</v>
      </c>
      <c r="E8" s="17">
        <v>18</v>
      </c>
      <c r="F8" s="17">
        <v>33.6</v>
      </c>
      <c r="G8" s="17">
        <v>17.8</v>
      </c>
      <c r="H8" s="17">
        <v>33.700000000000003</v>
      </c>
      <c r="I8" s="17">
        <v>18</v>
      </c>
      <c r="J8" s="17">
        <v>33.5</v>
      </c>
      <c r="K8" s="17">
        <v>17.899999999999999</v>
      </c>
      <c r="L8" s="17">
        <v>33.6</v>
      </c>
      <c r="M8" s="17">
        <v>17.7</v>
      </c>
      <c r="N8" s="6">
        <f t="shared" ref="N8" si="9">AVERAGE(D8,F8,H8,J8,L8)</f>
        <v>33.559999999999995</v>
      </c>
      <c r="O8" s="6">
        <f t="shared" ref="O8" si="10">AVERAGE(E8,G8,I8,K8,M8)</f>
        <v>17.88</v>
      </c>
      <c r="P8">
        <f t="shared" si="0"/>
        <v>4.4696066746126347E-5</v>
      </c>
      <c r="Q8">
        <f t="shared" si="1"/>
        <v>6.1891318011922896E-7</v>
      </c>
      <c r="R8" s="2">
        <f t="shared" si="2"/>
        <v>7.7101191962464027E-15</v>
      </c>
      <c r="S8" s="2">
        <f t="shared" ref="S8" si="11">(R8/C8)*(1/O8+1/N8)*((1/N8)^(1/2))</f>
        <v>3.2505323525282186E-19</v>
      </c>
      <c r="T8">
        <f t="shared" si="4"/>
        <v>2</v>
      </c>
      <c r="U8" s="7">
        <f t="shared" ref="U8" si="12">S8*10^18</f>
        <v>0.32505323525282187</v>
      </c>
    </row>
    <row r="10" spans="1:21" x14ac:dyDescent="0.25">
      <c r="A10" s="1" t="s">
        <v>23</v>
      </c>
      <c r="B10" s="1"/>
      <c r="C10">
        <v>981</v>
      </c>
      <c r="D10" t="s">
        <v>31</v>
      </c>
    </row>
    <row r="11" spans="1:21" x14ac:dyDescent="0.25">
      <c r="A11" t="s">
        <v>24</v>
      </c>
      <c r="C11">
        <v>9.7949999999999999</v>
      </c>
      <c r="D11" t="s">
        <v>32</v>
      </c>
      <c r="I11">
        <v>8.7593481488721958E-19</v>
      </c>
      <c r="J11">
        <v>5</v>
      </c>
    </row>
    <row r="12" spans="1:21" x14ac:dyDescent="0.25">
      <c r="A12" t="s">
        <v>25</v>
      </c>
      <c r="C12">
        <v>1.5</v>
      </c>
      <c r="D12" t="s">
        <v>42</v>
      </c>
      <c r="E12">
        <f>C12/1000</f>
        <v>1.5E-3</v>
      </c>
      <c r="F12" t="s">
        <v>35</v>
      </c>
      <c r="I12">
        <v>5.2456620016527896E-19</v>
      </c>
      <c r="J12">
        <v>3</v>
      </c>
      <c r="M12" s="13"/>
      <c r="N12" s="12" t="s">
        <v>44</v>
      </c>
      <c r="O12" s="13">
        <f>SLOPE(S3:S8,T3:T8)</f>
        <v>1.6067593714698567E-19</v>
      </c>
      <c r="P12" s="13" t="s">
        <v>40</v>
      </c>
      <c r="Q12" s="5" t="s">
        <v>50</v>
      </c>
      <c r="R12" s="5">
        <f>O12</f>
        <v>1.6067593714698567E-19</v>
      </c>
    </row>
    <row r="13" spans="1:21" x14ac:dyDescent="0.25">
      <c r="A13" t="s">
        <v>26</v>
      </c>
      <c r="C13" s="2">
        <f>1.83*10^(-5)</f>
        <v>1.8300000000000001E-5</v>
      </c>
      <c r="D13" s="3" t="s">
        <v>33</v>
      </c>
      <c r="I13">
        <v>1.5401130429415723E-19</v>
      </c>
      <c r="J13">
        <v>1</v>
      </c>
      <c r="M13" s="13"/>
      <c r="N13" s="12" t="s">
        <v>43</v>
      </c>
      <c r="O13" s="13">
        <f>INTERCEPT(S3:S8,T3:T8)</f>
        <v>1.1634185153754592E-20</v>
      </c>
      <c r="P13" s="13" t="s">
        <v>40</v>
      </c>
      <c r="Q13" t="s">
        <v>28</v>
      </c>
      <c r="R13">
        <f>R9-R12*R7</f>
        <v>-1.2231438308253329E-33</v>
      </c>
    </row>
    <row r="14" spans="1:21" x14ac:dyDescent="0.25">
      <c r="A14" t="s">
        <v>27</v>
      </c>
      <c r="C14">
        <v>76</v>
      </c>
      <c r="D14" t="s">
        <v>34</v>
      </c>
      <c r="I14">
        <v>2.7018697748001089E-19</v>
      </c>
      <c r="J14">
        <v>2</v>
      </c>
      <c r="M14" s="13"/>
      <c r="N14" s="13"/>
      <c r="O14" s="13"/>
      <c r="P14" s="13"/>
      <c r="Q14" t="s">
        <v>51</v>
      </c>
      <c r="R14">
        <f>PEARSON(S3:S8,T3:T8)</f>
        <v>0.99547219588581226</v>
      </c>
    </row>
    <row r="15" spans="1:21" x14ac:dyDescent="0.25">
      <c r="A15" t="s">
        <v>28</v>
      </c>
      <c r="C15" s="2">
        <f>6.17*10^(-6)</f>
        <v>6.1699999999999994E-6</v>
      </c>
      <c r="D15" s="3" t="s">
        <v>36</v>
      </c>
      <c r="I15">
        <v>4.3028166792483723E-19</v>
      </c>
      <c r="J15">
        <v>3</v>
      </c>
      <c r="M15" s="13"/>
      <c r="N15" s="12" t="s">
        <v>54</v>
      </c>
      <c r="O15" s="14">
        <f>ABS((O12-C18)/C18)</f>
        <v>2.8582128536473778E-3</v>
      </c>
      <c r="P15" s="13"/>
    </row>
    <row r="16" spans="1:21" x14ac:dyDescent="0.25">
      <c r="A16" t="s">
        <v>29</v>
      </c>
      <c r="C16" s="2">
        <f>5*10^(-3)</f>
        <v>5.0000000000000001E-3</v>
      </c>
      <c r="D16" t="s">
        <v>35</v>
      </c>
      <c r="I16">
        <v>6.7626345934269271E-19</v>
      </c>
      <c r="J16">
        <v>4</v>
      </c>
    </row>
    <row r="17" spans="1:10" x14ac:dyDescent="0.25">
      <c r="I17">
        <v>2.7145697393334224E-19</v>
      </c>
      <c r="J17">
        <v>2</v>
      </c>
    </row>
    <row r="18" spans="1:10" x14ac:dyDescent="0.25">
      <c r="A18" t="s">
        <v>39</v>
      </c>
      <c r="C18">
        <f>1.60218*10^(-19)</f>
        <v>1.60218E-19</v>
      </c>
      <c r="D18" t="s">
        <v>40</v>
      </c>
    </row>
    <row r="21" spans="1:10" x14ac:dyDescent="0.25">
      <c r="I21">
        <v>198</v>
      </c>
      <c r="J21">
        <v>13.7</v>
      </c>
    </row>
    <row r="22" spans="1:10" x14ac:dyDescent="0.25">
      <c r="I22">
        <v>188</v>
      </c>
      <c r="J22">
        <v>19.5</v>
      </c>
    </row>
    <row r="23" spans="1:10" x14ac:dyDescent="0.25">
      <c r="I23">
        <v>207</v>
      </c>
      <c r="J23">
        <v>38.5</v>
      </c>
    </row>
    <row r="24" spans="1:10" x14ac:dyDescent="0.25">
      <c r="I24">
        <v>162</v>
      </c>
      <c r="J24">
        <v>29.3</v>
      </c>
    </row>
    <row r="25" spans="1:10" x14ac:dyDescent="0.25">
      <c r="I25">
        <v>145</v>
      </c>
      <c r="J25">
        <v>24.2</v>
      </c>
    </row>
    <row r="26" spans="1:10" x14ac:dyDescent="0.25">
      <c r="I26">
        <v>176</v>
      </c>
      <c r="J26" s="6">
        <v>16.7</v>
      </c>
    </row>
    <row r="27" spans="1:10" x14ac:dyDescent="0.25">
      <c r="I27">
        <v>136</v>
      </c>
      <c r="J27" s="6">
        <v>32.200000000000003</v>
      </c>
    </row>
  </sheetData>
  <mergeCells count="6">
    <mergeCell ref="N1:P1"/>
    <mergeCell ref="D1:E1"/>
    <mergeCell ref="F1:G1"/>
    <mergeCell ref="H1:I1"/>
    <mergeCell ref="J1:K1"/>
    <mergeCell ref="L1:M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2025-04-12T11:19:18Z</dcterms:created>
  <dcterms:modified xsi:type="dcterms:W3CDTF">2025-04-16T11:11:56Z</dcterms:modified>
</cp:coreProperties>
</file>