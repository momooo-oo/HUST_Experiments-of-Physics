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新文件\3. 大二上\1. 学习资料\7. 物理实验\1. 光电效应与弗兰克-赫兹实验\数据处理\"/>
    </mc:Choice>
  </mc:AlternateContent>
  <xr:revisionPtr revIDLastSave="0" documentId="13_ncr:1_{C467EF8C-2260-4F6D-A4DF-A114D9597218}" xr6:coauthVersionLast="47" xr6:coauthVersionMax="47" xr10:uidLastSave="{00000000-0000-0000-0000-000000000000}"/>
  <bookViews>
    <workbookView xWindow="-108" yWindow="-108" windowWidth="23256" windowHeight="13896" activeTab="4" xr2:uid="{5CA04F9B-DB72-49D4-92A5-255F289DC818}"/>
  </bookViews>
  <sheets>
    <sheet name="零电流法 h与ν0" sheetId="1" r:id="rId1"/>
    <sheet name="补偿法 h与ν0" sheetId="8" r:id="rId2"/>
    <sheet name="I-U关系" sheetId="2" r:id="rId3"/>
    <sheet name="Im-P关系" sheetId="3" r:id="rId4"/>
    <sheet name="IP-VG2K第一激发" sheetId="4" r:id="rId5"/>
    <sheet name="IP-VG2K高激发" sheetId="5" r:id="rId6"/>
  </sheets>
  <definedNames>
    <definedName name="_xlnm._FilterDatabase" localSheetId="4" hidden="1">'IP-VG2K第一激发'!$A$3:$E$133</definedName>
    <definedName name="_xlnm._FilterDatabase" localSheetId="5" hidden="1">'IP-VG2K高激发'!$A$3:$C$133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K12" i="2"/>
  <c r="K13" i="2"/>
  <c r="K14" i="2"/>
  <c r="K15" i="2"/>
  <c r="K16" i="2"/>
  <c r="K17" i="2"/>
  <c r="K18" i="2"/>
  <c r="K19" i="2"/>
  <c r="F13" i="5"/>
  <c r="F15" i="5" s="1"/>
  <c r="K8" i="4"/>
  <c r="K5" i="4"/>
  <c r="K6" i="4"/>
  <c r="K7" i="4"/>
  <c r="K4" i="4"/>
  <c r="E119" i="4"/>
  <c r="E120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36" i="4"/>
  <c r="E37" i="4"/>
  <c r="E38" i="4"/>
  <c r="E3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5" i="4"/>
  <c r="K14" i="4" l="1"/>
  <c r="K16" i="4" s="1"/>
  <c r="M18" i="3"/>
  <c r="F18" i="3"/>
  <c r="J17" i="3"/>
  <c r="C17" i="3"/>
  <c r="J16" i="3"/>
  <c r="C16" i="3"/>
  <c r="J15" i="3"/>
  <c r="K18" i="3" s="1"/>
  <c r="C15" i="3"/>
  <c r="D18" i="3" s="1"/>
  <c r="M26" i="8"/>
  <c r="M19" i="8"/>
  <c r="I10" i="8"/>
  <c r="M7" i="8" s="1"/>
  <c r="H10" i="8"/>
  <c r="G10" i="8"/>
  <c r="F10" i="8"/>
  <c r="E10" i="8"/>
  <c r="I5" i="8"/>
  <c r="I12" i="8" s="1"/>
  <c r="H5" i="8"/>
  <c r="H12" i="8" s="1"/>
  <c r="G5" i="8"/>
  <c r="G12" i="8" s="1"/>
  <c r="F5" i="8"/>
  <c r="F12" i="8" s="1"/>
  <c r="D4" i="8"/>
  <c r="E5" i="8" s="1"/>
  <c r="L6" i="3"/>
  <c r="K6" i="3"/>
  <c r="J6" i="3"/>
  <c r="D6" i="3"/>
  <c r="E6" i="3"/>
  <c r="C6" i="3"/>
  <c r="M26" i="1"/>
  <c r="L10" i="3"/>
  <c r="L11" i="3" s="1"/>
  <c r="K10" i="3"/>
  <c r="K11" i="3" s="1"/>
  <c r="J10" i="3"/>
  <c r="J11" i="3" s="1"/>
  <c r="D10" i="3"/>
  <c r="D11" i="3" s="1"/>
  <c r="E10" i="3"/>
  <c r="E11" i="3" s="1"/>
  <c r="C10" i="3"/>
  <c r="C11" i="3" s="1"/>
  <c r="H1" i="3"/>
  <c r="M13" i="8" l="1"/>
  <c r="E11" i="8"/>
  <c r="M14" i="8"/>
  <c r="E12" i="8"/>
  <c r="M8" i="8" s="1"/>
  <c r="M5" i="8"/>
  <c r="M16" i="8"/>
  <c r="G11" i="8"/>
  <c r="H11" i="8"/>
  <c r="I11" i="8"/>
  <c r="F11" i="8"/>
  <c r="K29" i="2"/>
  <c r="L29" i="2" s="1"/>
  <c r="K30" i="2"/>
  <c r="L30" i="2" s="1"/>
  <c r="K31" i="2"/>
  <c r="L31" i="2" s="1"/>
  <c r="K28" i="2"/>
  <c r="L28" i="2" s="1"/>
  <c r="K39" i="2"/>
  <c r="L39" i="2" s="1"/>
  <c r="K38" i="2"/>
  <c r="L38" i="2" s="1"/>
  <c r="K37" i="2"/>
  <c r="L37" i="2" s="1"/>
  <c r="K36" i="2"/>
  <c r="L36" i="2" s="1"/>
  <c r="K35" i="2"/>
  <c r="L35" i="2" s="1"/>
  <c r="K34" i="2"/>
  <c r="L34" i="2" s="1"/>
  <c r="K33" i="2"/>
  <c r="L33" i="2" s="1"/>
  <c r="K32" i="2"/>
  <c r="L32" i="2" s="1"/>
  <c r="K27" i="2"/>
  <c r="L27" i="2" s="1"/>
  <c r="K26" i="2"/>
  <c r="L26" i="2" s="1"/>
  <c r="K25" i="2"/>
  <c r="L25" i="2" s="1"/>
  <c r="K24" i="2"/>
  <c r="L24" i="2" s="1"/>
  <c r="K23" i="2"/>
  <c r="L23" i="2" s="1"/>
  <c r="K22" i="2"/>
  <c r="L22" i="2" s="1"/>
  <c r="K21" i="2"/>
  <c r="L21" i="2" s="1"/>
  <c r="K20" i="2"/>
  <c r="L20" i="2" s="1"/>
  <c r="L19" i="2"/>
  <c r="L18" i="2"/>
  <c r="L17" i="2"/>
  <c r="L16" i="2"/>
  <c r="L15" i="2"/>
  <c r="L14" i="2"/>
  <c r="L13" i="2"/>
  <c r="L12" i="2"/>
  <c r="L11" i="2"/>
  <c r="K10" i="2"/>
  <c r="L10" i="2" s="1"/>
  <c r="K9" i="2"/>
  <c r="L9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28" i="2"/>
  <c r="E28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19" i="2"/>
  <c r="E1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9" i="2"/>
  <c r="E9" i="2" s="1"/>
  <c r="M19" i="1"/>
  <c r="M23" i="8" l="1"/>
  <c r="M22" i="8"/>
  <c r="P17" i="8"/>
  <c r="M15" i="8"/>
  <c r="M21" i="8" s="1"/>
  <c r="M6" i="8"/>
  <c r="N17" i="8"/>
  <c r="M20" i="8"/>
  <c r="M27" i="8" s="1"/>
  <c r="F10" i="1"/>
  <c r="G10" i="1"/>
  <c r="H10" i="1"/>
  <c r="I10" i="1"/>
  <c r="E10" i="1"/>
  <c r="D4" i="1"/>
  <c r="M7" i="1" l="1"/>
  <c r="F5" i="1"/>
  <c r="M13" i="1" s="1"/>
  <c r="G5" i="1"/>
  <c r="H5" i="1"/>
  <c r="E5" i="1"/>
  <c r="I5" i="1"/>
  <c r="M14" i="1" l="1"/>
  <c r="M23" i="1" s="1"/>
  <c r="H11" i="1"/>
  <c r="H12" i="1"/>
  <c r="I11" i="1"/>
  <c r="I12" i="1"/>
  <c r="G11" i="1"/>
  <c r="G12" i="1"/>
  <c r="M16" i="1"/>
  <c r="E11" i="1"/>
  <c r="M5" i="1"/>
  <c r="E12" i="1"/>
  <c r="F12" i="1"/>
  <c r="F11" i="1"/>
  <c r="N17" i="1"/>
  <c r="M20" i="1"/>
  <c r="M27" i="1" s="1"/>
  <c r="M15" i="1" l="1"/>
  <c r="M21" i="1" s="1"/>
  <c r="P17" i="1"/>
  <c r="M22" i="1"/>
  <c r="M8" i="1"/>
  <c r="M6" i="1"/>
</calcChain>
</file>

<file path=xl/sharedStrings.xml><?xml version="1.0" encoding="utf-8"?>
<sst xmlns="http://schemas.openxmlformats.org/spreadsheetml/2006/main" count="199" uniqueCount="82">
  <si>
    <r>
      <t>波长</t>
    </r>
    <r>
      <rPr>
        <sz val="11"/>
        <color theme="1"/>
        <rFont val="Calibri"/>
        <family val="2"/>
        <charset val="161"/>
      </rPr>
      <t>λ</t>
    </r>
    <r>
      <rPr>
        <sz val="11"/>
        <color theme="1"/>
        <rFont val="宋体"/>
        <family val="2"/>
        <charset val="134"/>
      </rPr>
      <t xml:space="preserve"> (nm)</t>
    </r>
    <phoneticPr fontId="2" type="noConversion"/>
  </si>
  <si>
    <t>数量级</t>
    <phoneticPr fontId="2" type="noConversion"/>
  </si>
  <si>
    <r>
      <t>频率</t>
    </r>
    <r>
      <rPr>
        <sz val="11"/>
        <color theme="1"/>
        <rFont val="Calibri"/>
        <family val="2"/>
        <charset val="161"/>
      </rPr>
      <t>ν</t>
    </r>
    <r>
      <rPr>
        <sz val="11"/>
        <color theme="1"/>
        <rFont val="宋体"/>
        <family val="2"/>
        <charset val="134"/>
      </rPr>
      <t xml:space="preserve"> (Hz)</t>
    </r>
    <phoneticPr fontId="2" type="noConversion"/>
  </si>
  <si>
    <t>截止电压Us(V)</t>
    <phoneticPr fontId="2" type="noConversion"/>
  </si>
  <si>
    <t>平均</t>
    <phoneticPr fontId="2" type="noConversion"/>
  </si>
  <si>
    <t>拟合直线斜率k</t>
    <phoneticPr fontId="2" type="noConversion"/>
  </si>
  <si>
    <t>纵轴截距b1</t>
    <phoneticPr fontId="2" type="noConversion"/>
  </si>
  <si>
    <t>横轴截距b2</t>
    <phoneticPr fontId="2" type="noConversion"/>
  </si>
  <si>
    <t>相关系数r</t>
    <phoneticPr fontId="2" type="noConversion"/>
  </si>
  <si>
    <t>V/Hz</t>
    <phoneticPr fontId="2" type="noConversion"/>
  </si>
  <si>
    <t>Hz</t>
    <phoneticPr fontId="2" type="noConversion"/>
  </si>
  <si>
    <t>V</t>
    <phoneticPr fontId="2" type="noConversion"/>
  </si>
  <si>
    <t>C</t>
    <phoneticPr fontId="2" type="noConversion"/>
  </si>
  <si>
    <t>取
正值</t>
    <phoneticPr fontId="2" type="noConversion"/>
  </si>
  <si>
    <t>拟合直线方程</t>
    <phoneticPr fontId="2" type="noConversion"/>
  </si>
  <si>
    <r>
      <t>逸出功</t>
    </r>
    <r>
      <rPr>
        <i/>
        <sz val="11"/>
        <color theme="1"/>
        <rFont val="宋体"/>
        <family val="3"/>
        <charset val="134"/>
      </rPr>
      <t>A</t>
    </r>
    <phoneticPr fontId="2" type="noConversion"/>
  </si>
  <si>
    <t>J·s</t>
    <phoneticPr fontId="2" type="noConversion"/>
  </si>
  <si>
    <t>J</t>
    <phoneticPr fontId="2" type="noConversion"/>
  </si>
  <si>
    <t>eV</t>
    <phoneticPr fontId="2" type="noConversion"/>
  </si>
  <si>
    <t>零电流法</t>
    <phoneticPr fontId="2" type="noConversion"/>
  </si>
  <si>
    <t>(勿动！)</t>
    <phoneticPr fontId="2" type="noConversion"/>
  </si>
  <si>
    <t>I-U关系</t>
    <phoneticPr fontId="2" type="noConversion"/>
  </si>
  <si>
    <t>以下是数据输入区</t>
    <phoneticPr fontId="2" type="noConversion"/>
  </si>
  <si>
    <t>I示数</t>
    <phoneticPr fontId="2" type="noConversion"/>
  </si>
  <si>
    <t>I量程(A)</t>
    <phoneticPr fontId="2" type="noConversion"/>
  </si>
  <si>
    <t>I实际值(A)</t>
    <phoneticPr fontId="2" type="noConversion"/>
  </si>
  <si>
    <t>序号</t>
    <phoneticPr fontId="2" type="noConversion"/>
  </si>
  <si>
    <t>第一组：</t>
    <phoneticPr fontId="2" type="noConversion"/>
  </si>
  <si>
    <r>
      <t>普朗克常数标准值</t>
    </r>
    <r>
      <rPr>
        <i/>
        <sz val="11"/>
        <color theme="1"/>
        <rFont val="宋体"/>
        <family val="3"/>
        <charset val="134"/>
      </rPr>
      <t>h</t>
    </r>
    <phoneticPr fontId="2" type="noConversion"/>
  </si>
  <si>
    <t>光阑(mm)</t>
    <phoneticPr fontId="2" type="noConversion"/>
  </si>
  <si>
    <r>
      <rPr>
        <sz val="11"/>
        <color theme="1"/>
        <rFont val="Calibri"/>
        <family val="2"/>
        <charset val="161"/>
      </rPr>
      <t>λ</t>
    </r>
    <r>
      <rPr>
        <sz val="11"/>
        <color theme="1"/>
        <rFont val="宋体"/>
        <family val="2"/>
        <charset val="134"/>
      </rPr>
      <t>(</t>
    </r>
    <r>
      <rPr>
        <sz val="11"/>
        <color theme="1"/>
        <rFont val="Calibri"/>
        <family val="2"/>
      </rPr>
      <t>nm</t>
    </r>
    <r>
      <rPr>
        <sz val="11"/>
        <color theme="1"/>
        <rFont val="宋体"/>
        <family val="2"/>
        <charset val="134"/>
      </rPr>
      <t>)</t>
    </r>
    <phoneticPr fontId="2" type="noConversion"/>
  </si>
  <si>
    <t>第二组：</t>
    <phoneticPr fontId="2" type="noConversion"/>
  </si>
  <si>
    <t>Im-P关系</t>
    <phoneticPr fontId="2" type="noConversion"/>
  </si>
  <si>
    <t>λ(nm)</t>
  </si>
  <si>
    <r>
      <t>光阑孔</t>
    </r>
    <r>
      <rPr>
        <sz val="11"/>
        <color theme="1"/>
        <rFont val="Calibri"/>
        <family val="2"/>
        <charset val="161"/>
      </rPr>
      <t>Φ</t>
    </r>
    <r>
      <rPr>
        <sz val="11"/>
        <color theme="1"/>
        <rFont val="宋体"/>
        <family val="2"/>
        <charset val="134"/>
      </rPr>
      <t>(mm)</t>
    </r>
    <phoneticPr fontId="2" type="noConversion"/>
  </si>
  <si>
    <t>I
(*10^-10 A)</t>
    <phoneticPr fontId="2" type="noConversion"/>
  </si>
  <si>
    <t>I量程</t>
    <phoneticPr fontId="2" type="noConversion"/>
  </si>
  <si>
    <t>x bar</t>
    <phoneticPr fontId="2" type="noConversion"/>
  </si>
  <si>
    <t>x^2 bar</t>
    <phoneticPr fontId="2" type="noConversion"/>
  </si>
  <si>
    <t>y bar</t>
    <phoneticPr fontId="2" type="noConversion"/>
  </si>
  <si>
    <t>xy bar</t>
    <phoneticPr fontId="2" type="noConversion"/>
  </si>
  <si>
    <r>
      <rPr>
        <sz val="11"/>
        <color theme="1"/>
        <rFont val="Calibri"/>
        <family val="2"/>
        <charset val="161"/>
      </rPr>
      <t>ν</t>
    </r>
    <r>
      <rPr>
        <sz val="11"/>
        <color theme="1"/>
        <rFont val="宋体"/>
        <family val="2"/>
        <charset val="134"/>
      </rPr>
      <t>^2 (Hz^2)</t>
    </r>
    <phoneticPr fontId="2" type="noConversion"/>
  </si>
  <si>
    <r>
      <t>ν</t>
    </r>
    <r>
      <rPr>
        <sz val="11"/>
        <color theme="1"/>
        <rFont val="宋体"/>
        <family val="2"/>
        <charset val="134"/>
      </rPr>
      <t>*Us</t>
    </r>
    <phoneticPr fontId="2" type="noConversion"/>
  </si>
  <si>
    <r>
      <rPr>
        <i/>
        <sz val="11"/>
        <color theme="1"/>
        <rFont val="Times New Roman"/>
        <family val="1"/>
      </rPr>
      <t xml:space="preserve"> ν  </t>
    </r>
    <r>
      <rPr>
        <sz val="11"/>
        <color theme="1"/>
        <rFont val="宋体"/>
        <family val="1"/>
        <charset val="134"/>
      </rPr>
      <t xml:space="preserve"> 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-</t>
    </r>
    <phoneticPr fontId="2" type="noConversion"/>
  </si>
  <si>
    <t>Us  =</t>
    <phoneticPr fontId="2" type="noConversion"/>
  </si>
  <si>
    <t>【最小二乘法相关计算】</t>
    <phoneticPr fontId="2" type="noConversion"/>
  </si>
  <si>
    <r>
      <t>普朗克常数</t>
    </r>
    <r>
      <rPr>
        <b/>
        <i/>
        <sz val="11"/>
        <color rgb="FFFF0000"/>
        <rFont val="宋体"/>
        <family val="3"/>
        <charset val="134"/>
      </rPr>
      <t>h</t>
    </r>
    <r>
      <rPr>
        <b/>
        <sz val="11"/>
        <color rgb="FFFF0000"/>
        <rFont val="宋体"/>
        <family val="3"/>
        <charset val="134"/>
      </rPr>
      <t>测</t>
    </r>
    <phoneticPr fontId="2" type="noConversion"/>
  </si>
  <si>
    <r>
      <rPr>
        <b/>
        <sz val="11"/>
        <color rgb="FFFF0000"/>
        <rFont val="宋体"/>
        <family val="3"/>
        <charset val="134"/>
      </rPr>
      <t>红限频率</t>
    </r>
    <r>
      <rPr>
        <b/>
        <i/>
        <sz val="11"/>
        <color rgb="FFFF0000"/>
        <rFont val="Times New Roman"/>
        <family val="1"/>
      </rPr>
      <t>ν</t>
    </r>
    <r>
      <rPr>
        <b/>
        <sz val="11"/>
        <color rgb="FFFF0000"/>
        <rFont val="Times New Roman"/>
        <family val="1"/>
      </rPr>
      <t>0</t>
    </r>
    <phoneticPr fontId="2" type="noConversion"/>
  </si>
  <si>
    <r>
      <t>相对误差</t>
    </r>
    <r>
      <rPr>
        <b/>
        <i/>
        <sz val="11"/>
        <color rgb="FFFF0000"/>
        <rFont val="宋体"/>
        <family val="3"/>
        <charset val="134"/>
      </rPr>
      <t>Ur</t>
    </r>
    <phoneticPr fontId="2" type="noConversion"/>
  </si>
  <si>
    <r>
      <t>元电荷</t>
    </r>
    <r>
      <rPr>
        <sz val="11"/>
        <color theme="1"/>
        <rFont val="宋体"/>
        <family val="3"/>
        <charset val="134"/>
      </rPr>
      <t>标准</t>
    </r>
    <r>
      <rPr>
        <sz val="11"/>
        <color theme="1"/>
        <rFont val="宋体"/>
        <family val="2"/>
        <charset val="134"/>
      </rPr>
      <t>值</t>
    </r>
    <r>
      <rPr>
        <i/>
        <sz val="11"/>
        <color theme="1"/>
        <rFont val="宋体"/>
        <family val="3"/>
        <charset val="134"/>
      </rPr>
      <t>e</t>
    </r>
    <phoneticPr fontId="2" type="noConversion"/>
  </si>
  <si>
    <t>补偿法</t>
    <phoneticPr fontId="2" type="noConversion"/>
  </si>
  <si>
    <r>
      <t xml:space="preserve">相对光强Pr = </t>
    </r>
    <r>
      <rPr>
        <sz val="11"/>
        <color theme="1"/>
        <rFont val="Calibri"/>
        <family val="2"/>
        <charset val="161"/>
      </rPr>
      <t>Φ</t>
    </r>
    <r>
      <rPr>
        <sz val="11"/>
        <color theme="1"/>
        <rFont val="宋体"/>
        <family val="2"/>
        <charset val="134"/>
      </rPr>
      <t>^2
(mm^2)</t>
    </r>
    <phoneticPr fontId="2" type="noConversion"/>
  </si>
  <si>
    <t>频率 (Hz)</t>
    <phoneticPr fontId="2" type="noConversion"/>
  </si>
  <si>
    <t>U(V)</t>
    <phoneticPr fontId="2" type="noConversion"/>
  </si>
  <si>
    <t>（注意自己调整正负号）</t>
    <phoneticPr fontId="2" type="noConversion"/>
  </si>
  <si>
    <r>
      <rPr>
        <i/>
        <sz val="11"/>
        <color theme="1"/>
        <rFont val="Times New Roman"/>
        <family val="1"/>
      </rPr>
      <t xml:space="preserve"> ν  </t>
    </r>
    <r>
      <rPr>
        <sz val="11"/>
        <color theme="1"/>
        <rFont val="Times New Roman"/>
        <family val="1"/>
      </rPr>
      <t xml:space="preserve">  </t>
    </r>
    <r>
      <rPr>
        <b/>
        <sz val="16"/>
        <color rgb="FFFF0000"/>
        <rFont val="Times New Roman"/>
        <family val="1"/>
      </rPr>
      <t>+</t>
    </r>
    <phoneticPr fontId="2" type="noConversion"/>
  </si>
  <si>
    <t>VG2K(V)</t>
    <phoneticPr fontId="2" type="noConversion"/>
  </si>
  <si>
    <t>Ip(nA)</t>
    <phoneticPr fontId="2" type="noConversion"/>
  </si>
  <si>
    <t>Φ(mm)</t>
    <phoneticPr fontId="2" type="noConversion"/>
  </si>
  <si>
    <r>
      <t>Δ</t>
    </r>
    <r>
      <rPr>
        <sz val="11"/>
        <color theme="1"/>
        <rFont val="Calibri"/>
        <family val="2"/>
      </rPr>
      <t>Ip</t>
    </r>
    <phoneticPr fontId="2" type="noConversion"/>
  </si>
  <si>
    <t>谷</t>
    <phoneticPr fontId="2" type="noConversion"/>
  </si>
  <si>
    <t>峰</t>
    <phoneticPr fontId="2" type="noConversion"/>
  </si>
  <si>
    <t>利用逐差法：</t>
    <phoneticPr fontId="2" type="noConversion"/>
  </si>
  <si>
    <t>一共10个数据，用第6-1，7-2，8-3…</t>
    <phoneticPr fontId="2" type="noConversion"/>
  </si>
  <si>
    <t>VG2K(n+5)-VG2K(n)</t>
    <phoneticPr fontId="2" type="noConversion"/>
  </si>
  <si>
    <t>n值：</t>
    <phoneticPr fontId="2" type="noConversion"/>
  </si>
  <si>
    <t>测量值</t>
    <phoneticPr fontId="2" type="noConversion"/>
  </si>
  <si>
    <t>V</t>
  </si>
  <si>
    <t>标准值</t>
    <phoneticPr fontId="2" type="noConversion"/>
  </si>
  <si>
    <t>相对误差</t>
    <phoneticPr fontId="2" type="noConversion"/>
  </si>
  <si>
    <t>U1</t>
    <phoneticPr fontId="2" type="noConversion"/>
  </si>
  <si>
    <t>U2</t>
    <phoneticPr fontId="2" type="noConversion"/>
  </si>
  <si>
    <t>标注</t>
    <phoneticPr fontId="2" type="noConversion"/>
  </si>
  <si>
    <t>相对光强Pr = Φ^2
(mm^2)</t>
    <phoneticPr fontId="2" type="noConversion"/>
  </si>
  <si>
    <t>IP-VG2K第一激发</t>
  </si>
  <si>
    <t>IP-VG2K高激发</t>
    <phoneticPr fontId="2" type="noConversion"/>
  </si>
  <si>
    <t>制作:</t>
    <phoneticPr fontId="22" type="noConversion"/>
  </si>
  <si>
    <t>机械学院 24级 momooo</t>
    <phoneticPr fontId="2" type="noConversion"/>
  </si>
  <si>
    <t>Last Updated:</t>
  </si>
  <si>
    <t>请自行判断有效数字位数！！！</t>
    <phoneticPr fontId="2" type="noConversion"/>
  </si>
  <si>
    <t>2025.11.19  20:43</t>
    <phoneticPr fontId="22" type="noConversion"/>
  </si>
  <si>
    <t>v0.1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</si>
</sst>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24">
    <font>
      <sz val="11"/>
      <color theme="1"/>
      <name val="宋体"/>
      <family val="2"/>
      <charset val="134"/>
    </font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theme="1"/>
      <name val="Calibri"/>
      <family val="2"/>
      <charset val="161"/>
    </font>
    <font>
      <b/>
      <sz val="11"/>
      <name val="宋体"/>
      <family val="3"/>
      <charset val="134"/>
    </font>
    <font>
      <i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2"/>
      <charset val="161"/>
    </font>
    <font>
      <b/>
      <sz val="22"/>
      <color rgb="FFFFFF00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sz val="11"/>
      <color theme="1"/>
      <name val="Calibri"/>
      <family val="2"/>
    </font>
    <font>
      <b/>
      <sz val="11"/>
      <color theme="8" tint="-0.249977111117893"/>
      <name val="宋体"/>
      <family val="3"/>
      <charset val="134"/>
    </font>
    <font>
      <i/>
      <sz val="11"/>
      <color theme="1"/>
      <name val="Times New Roman"/>
      <family val="1"/>
    </font>
    <font>
      <b/>
      <sz val="11"/>
      <color rgb="FFFF0000"/>
      <name val="宋体"/>
      <family val="3"/>
      <charset val="134"/>
    </font>
    <font>
      <b/>
      <sz val="11"/>
      <color rgb="FFFF0000"/>
      <name val="宋体"/>
      <family val="2"/>
      <charset val="134"/>
    </font>
    <font>
      <b/>
      <i/>
      <sz val="11"/>
      <color rgb="FFFF0000"/>
      <name val="宋体"/>
      <family val="3"/>
      <charset val="134"/>
    </font>
    <font>
      <b/>
      <sz val="11"/>
      <color rgb="FFFF0000"/>
      <name val="Times New Roman"/>
      <family val="1"/>
    </font>
    <font>
      <b/>
      <i/>
      <sz val="11"/>
      <color rgb="FFFF0000"/>
      <name val="Times New Roman"/>
      <family val="1"/>
    </font>
    <font>
      <b/>
      <sz val="14"/>
      <color rgb="FFFF0000"/>
      <name val="宋体"/>
      <family val="3"/>
      <charset val="134"/>
    </font>
    <font>
      <b/>
      <sz val="16"/>
      <color rgb="FFFF0000"/>
      <name val="Times New Roman"/>
      <family val="1"/>
    </font>
    <font>
      <b/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8"/>
      <color rgb="FFFF0000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176" fontId="0" fillId="4" borderId="1" xfId="0" applyNumberFormat="1" applyFill="1" applyBorder="1">
      <alignment vertical="center"/>
    </xf>
    <xf numFmtId="176" fontId="0" fillId="5" borderId="1" xfId="0" applyNumberFormat="1" applyFill="1" applyBorder="1">
      <alignment vertical="center"/>
    </xf>
    <xf numFmtId="0" fontId="0" fillId="0" borderId="0" xfId="0" applyAlignment="1">
      <alignment horizontal="right" vertical="center"/>
    </xf>
    <xf numFmtId="0" fontId="0" fillId="5" borderId="1" xfId="0" applyFill="1" applyBorder="1">
      <alignment vertical="center"/>
    </xf>
    <xf numFmtId="0" fontId="0" fillId="0" borderId="9" xfId="0" applyBorder="1">
      <alignment vertical="center"/>
    </xf>
    <xf numFmtId="0" fontId="0" fillId="5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5" borderId="2" xfId="0" applyFill="1" applyBorder="1">
      <alignment vertical="center"/>
    </xf>
    <xf numFmtId="0" fontId="0" fillId="5" borderId="11" xfId="0" applyFill="1" applyBorder="1">
      <alignment vertical="center"/>
    </xf>
    <xf numFmtId="0" fontId="0" fillId="5" borderId="4" xfId="0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6" borderId="0" xfId="0" applyFill="1">
      <alignment vertical="center"/>
    </xf>
    <xf numFmtId="0" fontId="9" fillId="5" borderId="11" xfId="0" applyFont="1" applyFill="1" applyBorder="1">
      <alignment vertical="center"/>
    </xf>
    <xf numFmtId="0" fontId="0" fillId="0" borderId="9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12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3" xfId="0" applyBorder="1">
      <alignment vertical="center"/>
    </xf>
    <xf numFmtId="0" fontId="0" fillId="7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>
      <alignment vertical="center"/>
    </xf>
    <xf numFmtId="0" fontId="12" fillId="8" borderId="0" xfId="0" applyFont="1" applyFill="1">
      <alignment vertical="center"/>
    </xf>
    <xf numFmtId="0" fontId="0" fillId="8" borderId="0" xfId="0" applyFill="1">
      <alignment vertical="center"/>
    </xf>
    <xf numFmtId="0" fontId="13" fillId="5" borderId="9" xfId="0" applyFont="1" applyFill="1" applyBorder="1" applyAlignment="1">
      <alignment horizontal="right" vertical="center"/>
    </xf>
    <xf numFmtId="0" fontId="14" fillId="9" borderId="1" xfId="0" applyFont="1" applyFill="1" applyBorder="1">
      <alignment vertical="center"/>
    </xf>
    <xf numFmtId="10" fontId="14" fillId="9" borderId="1" xfId="1" applyNumberFormat="1" applyFont="1" applyFill="1" applyBorder="1">
      <alignment vertical="center"/>
    </xf>
    <xf numFmtId="0" fontId="15" fillId="9" borderId="9" xfId="0" applyFont="1" applyFill="1" applyBorder="1">
      <alignment vertical="center"/>
    </xf>
    <xf numFmtId="0" fontId="15" fillId="9" borderId="1" xfId="0" applyFont="1" applyFill="1" applyBorder="1" applyAlignment="1">
      <alignment horizontal="right" vertical="center"/>
    </xf>
    <xf numFmtId="0" fontId="15" fillId="9" borderId="1" xfId="0" applyFont="1" applyFill="1" applyBorder="1">
      <alignment vertical="center"/>
    </xf>
    <xf numFmtId="0" fontId="17" fillId="9" borderId="6" xfId="0" applyFont="1" applyFill="1" applyBorder="1" applyAlignment="1">
      <alignment horizontal="right" vertical="center"/>
    </xf>
    <xf numFmtId="0" fontId="14" fillId="9" borderId="3" xfId="0" applyFont="1" applyFill="1" applyBorder="1">
      <alignment vertical="center"/>
    </xf>
    <xf numFmtId="0" fontId="14" fillId="9" borderId="9" xfId="0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177" fontId="0" fillId="4" borderId="1" xfId="0" applyNumberFormat="1" applyFill="1" applyBorder="1">
      <alignment vertical="center"/>
    </xf>
    <xf numFmtId="0" fontId="0" fillId="4" borderId="1" xfId="0" applyFill="1" applyBorder="1">
      <alignment vertical="center"/>
    </xf>
    <xf numFmtId="177" fontId="0" fillId="5" borderId="1" xfId="0" applyNumberFormat="1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19" fillId="9" borderId="9" xfId="0" applyFont="1" applyFill="1" applyBorder="1">
      <alignment vertical="center"/>
    </xf>
    <xf numFmtId="0" fontId="19" fillId="9" borderId="11" xfId="0" applyFont="1" applyFill="1" applyBorder="1">
      <alignment vertical="center"/>
    </xf>
    <xf numFmtId="0" fontId="14" fillId="9" borderId="4" xfId="0" applyFont="1" applyFill="1" applyBorder="1">
      <alignment vertical="center"/>
    </xf>
    <xf numFmtId="0" fontId="6" fillId="0" borderId="0" xfId="0" applyFont="1">
      <alignment vertical="center"/>
    </xf>
    <xf numFmtId="0" fontId="21" fillId="3" borderId="0" xfId="0" applyFont="1" applyFill="1">
      <alignment vertical="center"/>
    </xf>
    <xf numFmtId="0" fontId="3" fillId="0" borderId="0" xfId="0" applyFont="1">
      <alignment vertical="center"/>
    </xf>
    <xf numFmtId="0" fontId="0" fillId="10" borderId="0" xfId="0" applyFill="1">
      <alignment vertical="center"/>
    </xf>
    <xf numFmtId="0" fontId="21" fillId="10" borderId="0" xfId="0" applyFont="1" applyFill="1">
      <alignment vertical="center"/>
    </xf>
    <xf numFmtId="0" fontId="6" fillId="3" borderId="1" xfId="0" applyFont="1" applyFill="1" applyBorder="1">
      <alignment vertical="center"/>
    </xf>
    <xf numFmtId="0" fontId="14" fillId="9" borderId="1" xfId="0" applyFont="1" applyFill="1" applyBorder="1" applyAlignment="1">
      <alignment horizontal="right" vertical="center"/>
    </xf>
    <xf numFmtId="0" fontId="14" fillId="8" borderId="5" xfId="0" applyFont="1" applyFill="1" applyBorder="1">
      <alignment vertical="center"/>
    </xf>
    <xf numFmtId="0" fontId="14" fillId="8" borderId="13" xfId="0" applyFont="1" applyFill="1" applyBorder="1">
      <alignment vertical="center"/>
    </xf>
    <xf numFmtId="0" fontId="14" fillId="8" borderId="8" xfId="0" applyFont="1" applyFill="1" applyBorder="1">
      <alignment vertical="center"/>
    </xf>
    <xf numFmtId="0" fontId="14" fillId="8" borderId="7" xfId="0" applyFont="1" applyFill="1" applyBorder="1">
      <alignment vertical="center"/>
    </xf>
    <xf numFmtId="0" fontId="14" fillId="8" borderId="12" xfId="0" applyFont="1" applyFill="1" applyBorder="1">
      <alignment vertical="center"/>
    </xf>
    <xf numFmtId="0" fontId="14" fillId="8" borderId="10" xfId="0" applyFont="1" applyFill="1" applyBorder="1">
      <alignment vertical="center"/>
    </xf>
    <xf numFmtId="2" fontId="14" fillId="9" borderId="1" xfId="0" applyNumberFormat="1" applyFont="1" applyFill="1" applyBorder="1">
      <alignment vertical="center"/>
    </xf>
    <xf numFmtId="0" fontId="0" fillId="11" borderId="0" xfId="0" applyFill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0" fontId="23" fillId="9" borderId="1" xfId="0" applyFont="1" applyFill="1" applyBorder="1">
      <alignment vertical="center"/>
    </xf>
    <xf numFmtId="0" fontId="21" fillId="9" borderId="1" xfId="0" applyFont="1" applyFill="1" applyBorder="1">
      <alignment vertical="center"/>
    </xf>
    <xf numFmtId="177" fontId="0" fillId="0" borderId="0" xfId="0" applyNumberFormat="1">
      <alignment vertical="center"/>
    </xf>
    <xf numFmtId="177" fontId="21" fillId="3" borderId="0" xfId="0" applyNumberFormat="1" applyFont="1" applyFill="1">
      <alignment vertical="center"/>
    </xf>
    <xf numFmtId="177" fontId="21" fillId="10" borderId="0" xfId="0" applyNumberFormat="1" applyFont="1" applyFill="1">
      <alignment vertical="center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12" borderId="0" xfId="0" applyFill="1">
      <alignment vertical="center"/>
    </xf>
    <xf numFmtId="177" fontId="0" fillId="12" borderId="0" xfId="0" applyNumberFormat="1" applyFill="1">
      <alignment vertical="center"/>
    </xf>
    <xf numFmtId="0" fontId="21" fillId="12" borderId="0" xfId="0" applyFont="1" applyFill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0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 altLang="en-US" sz="1200"/>
              <a:t>图</a:t>
            </a:r>
            <a:r>
              <a:rPr lang="en-US" altLang="zh-CN" sz="1200"/>
              <a:t>5</a:t>
            </a:r>
            <a:r>
              <a:rPr lang="zh-CN" altLang="en-US" sz="1200"/>
              <a:t>　截止电压</a:t>
            </a:r>
            <a:r>
              <a:rPr lang="en-US" altLang="zh-CN" sz="1200" i="1"/>
              <a:t>Us</a:t>
            </a:r>
            <a:r>
              <a:rPr lang="zh-CN" altLang="en-US" sz="1200" i="0"/>
              <a:t>与照射光频率</a:t>
            </a:r>
            <a:r>
              <a:rPr lang="el-GR" altLang="zh-CN" sz="1200" i="1"/>
              <a:t>ν</a:t>
            </a:r>
            <a:r>
              <a:rPr lang="zh-CN" altLang="en-US" sz="1200" i="0"/>
              <a:t>的关系（零电流法）</a:t>
            </a:r>
            <a:endParaRPr lang="en-US" sz="1200" i="0"/>
          </a:p>
        </c:rich>
      </c:tx>
      <c:layout>
        <c:manualLayout>
          <c:xMode val="edge"/>
          <c:yMode val="edge"/>
          <c:x val="0.15717472118959108"/>
          <c:y val="2.93494777683681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660041565436284E-2"/>
          <c:y val="0.19966996402337581"/>
          <c:w val="0.84772414600591262"/>
          <c:h val="0.644814320978756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'零电流法 h与ν0'!$A$6:$A$10</c:f>
              <c:strCache>
                <c:ptCount val="1"/>
                <c:pt idx="0">
                  <c:v>截止电压Us(V)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宋体" panose="02010600030101010101" pitchFamily="2" charset="-122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'零电流法 h与ν0'!$E$5:$I$5</c:f>
              <c:numCache>
                <c:formatCode>General</c:formatCode>
                <c:ptCount val="5"/>
                <c:pt idx="0">
                  <c:v>821400000000000</c:v>
                </c:pt>
                <c:pt idx="1">
                  <c:v>740800000000000</c:v>
                </c:pt>
                <c:pt idx="2">
                  <c:v>687900000000000</c:v>
                </c:pt>
                <c:pt idx="3">
                  <c:v>549000000000000</c:v>
                </c:pt>
                <c:pt idx="4">
                  <c:v>519600000000000</c:v>
                </c:pt>
              </c:numCache>
            </c:numRef>
          </c:xVal>
          <c:yVal>
            <c:numRef>
              <c:f>'零电流法 h与ν0'!$E$10:$I$10</c:f>
              <c:numCache>
                <c:formatCode>0.000</c:formatCode>
                <c:ptCount val="5"/>
                <c:pt idx="0">
                  <c:v>1.6977500000000001</c:v>
                </c:pt>
                <c:pt idx="1">
                  <c:v>1.26125</c:v>
                </c:pt>
                <c:pt idx="2">
                  <c:v>1.0747500000000001</c:v>
                </c:pt>
                <c:pt idx="3">
                  <c:v>0.55475000000000008</c:v>
                </c:pt>
                <c:pt idx="4">
                  <c:v>0.44950000000000001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D1-4C99-9D31-1B4B2FF20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882752"/>
        <c:axId val="1965879392"/>
      </c:scatterChart>
      <c:valAx>
        <c:axId val="196588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 sz="1100"/>
                  <a:t>频率</a:t>
                </a:r>
                <a:r>
                  <a:rPr lang="el-GR" altLang="zh-CN" sz="1100" i="1"/>
                  <a:t>ν</a:t>
                </a:r>
                <a:r>
                  <a:rPr lang="el-GR" altLang="zh-CN" sz="1100"/>
                  <a:t> (</a:t>
                </a:r>
                <a:r>
                  <a:rPr lang="en-US" altLang="zh-CN" sz="1100"/>
                  <a:t>Hz)</a:t>
                </a:r>
                <a:endParaRPr lang="zh-CN" altLang="en-US" sz="1100"/>
              </a:p>
            </c:rich>
          </c:tx>
          <c:layout>
            <c:manualLayout>
              <c:xMode val="edge"/>
              <c:yMode val="edge"/>
              <c:x val="0.85453326698474963"/>
              <c:y val="0.90478807425959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965879392"/>
        <c:crosses val="autoZero"/>
        <c:crossBetween val="midCat"/>
        <c:majorUnit val="100000000000000"/>
      </c:valAx>
      <c:valAx>
        <c:axId val="196587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 sz="1100"/>
                  <a:t>截止电压</a:t>
                </a:r>
                <a:r>
                  <a:rPr lang="en-US" altLang="zh-CN" sz="1100" i="1"/>
                  <a:t>U</a:t>
                </a:r>
                <a:r>
                  <a:rPr lang="en-US" altLang="zh-CN" sz="1100" i="1" baseline="-25000"/>
                  <a:t>S</a:t>
                </a:r>
                <a:r>
                  <a:rPr lang="en-US" altLang="zh-CN" sz="1100"/>
                  <a:t> (V)</a:t>
                </a:r>
                <a:endParaRPr lang="zh-CN" altLang="en-US" sz="1100"/>
              </a:p>
            </c:rich>
          </c:tx>
          <c:layout>
            <c:manualLayout>
              <c:xMode val="edge"/>
              <c:yMode val="edge"/>
              <c:x val="7.4349442379182153E-3"/>
              <c:y val="0.106363778326336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965882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10228004956629493"/>
          <c:y val="0.20850976293867157"/>
          <c:w val="0.33018587360594798"/>
          <c:h val="0.1286449605698601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0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 altLang="en-US" sz="1200"/>
              <a:t>图</a:t>
            </a:r>
            <a:r>
              <a:rPr lang="en-US" altLang="zh-CN" sz="1200"/>
              <a:t>x  </a:t>
            </a:r>
            <a:r>
              <a:rPr lang="zh-CN" altLang="en-US" sz="1200"/>
              <a:t>截止电压</a:t>
            </a:r>
            <a:r>
              <a:rPr lang="en-US" altLang="zh-CN" sz="1200" i="1"/>
              <a:t>Us</a:t>
            </a:r>
            <a:r>
              <a:rPr lang="zh-CN" altLang="en-US" sz="1200" i="0"/>
              <a:t>与照射光频率</a:t>
            </a:r>
            <a:r>
              <a:rPr lang="el-GR" altLang="zh-CN" sz="1200" i="1"/>
              <a:t>ν</a:t>
            </a:r>
            <a:r>
              <a:rPr lang="zh-CN" altLang="en-US" sz="1200" i="0"/>
              <a:t>的关系（补偿法）</a:t>
            </a:r>
            <a:endParaRPr lang="en-US" sz="1200" i="0"/>
          </a:p>
        </c:rich>
      </c:tx>
      <c:layout>
        <c:manualLayout>
          <c:xMode val="edge"/>
          <c:yMode val="edge"/>
          <c:x val="0.16460966542750929"/>
          <c:y val="2.39808153477218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'零电流法 h与ν0'!$A$6:$A$10</c:f>
              <c:strCache>
                <c:ptCount val="1"/>
                <c:pt idx="0">
                  <c:v>截止电压Us(V)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宋体" panose="02010600030101010101" pitchFamily="2" charset="-122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'零电流法 h与ν0'!$E$5:$I$5</c:f>
              <c:numCache>
                <c:formatCode>General</c:formatCode>
                <c:ptCount val="5"/>
                <c:pt idx="0">
                  <c:v>821400000000000</c:v>
                </c:pt>
                <c:pt idx="1">
                  <c:v>740800000000000</c:v>
                </c:pt>
                <c:pt idx="2">
                  <c:v>687900000000000</c:v>
                </c:pt>
                <c:pt idx="3">
                  <c:v>549000000000000</c:v>
                </c:pt>
                <c:pt idx="4">
                  <c:v>519600000000000</c:v>
                </c:pt>
              </c:numCache>
            </c:numRef>
          </c:xVal>
          <c:yVal>
            <c:numRef>
              <c:f>'零电流法 h与ν0'!$E$10:$I$10</c:f>
              <c:numCache>
                <c:formatCode>0.000</c:formatCode>
                <c:ptCount val="5"/>
                <c:pt idx="0">
                  <c:v>1.6977500000000001</c:v>
                </c:pt>
                <c:pt idx="1">
                  <c:v>1.26125</c:v>
                </c:pt>
                <c:pt idx="2">
                  <c:v>1.0747500000000001</c:v>
                </c:pt>
                <c:pt idx="3">
                  <c:v>0.55475000000000008</c:v>
                </c:pt>
                <c:pt idx="4">
                  <c:v>0.44950000000000001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84-4BF7-9D7A-959893BB2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882752"/>
        <c:axId val="1965879392"/>
      </c:scatterChart>
      <c:valAx>
        <c:axId val="196588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/>
                  <a:t>频率</a:t>
                </a:r>
                <a:r>
                  <a:rPr lang="el-GR" altLang="zh-CN" i="1"/>
                  <a:t>ν</a:t>
                </a:r>
                <a:r>
                  <a:rPr lang="el-GR" altLang="zh-CN"/>
                  <a:t> (</a:t>
                </a:r>
                <a:r>
                  <a:rPr lang="en-US" altLang="zh-CN"/>
                  <a:t>Hz)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965879392"/>
        <c:crosses val="autoZero"/>
        <c:crossBetween val="midCat"/>
        <c:majorUnit val="100000000000000"/>
      </c:valAx>
      <c:valAx>
        <c:axId val="196587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/>
                  <a:t>截止电压</a:t>
                </a:r>
                <a:r>
                  <a:rPr lang="en-US" altLang="zh-CN" i="1"/>
                  <a:t>U</a:t>
                </a:r>
                <a:r>
                  <a:rPr lang="en-US" altLang="zh-CN" i="1" baseline="-25000"/>
                  <a:t>S</a:t>
                </a:r>
                <a:r>
                  <a:rPr lang="en-US" altLang="zh-CN"/>
                  <a:t> (V)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965882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14688971499380421"/>
          <c:y val="0.15892923456510383"/>
          <c:w val="0.30292441140024784"/>
          <c:h val="0.1268213775436343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 altLang="en-US"/>
              <a:t>图</a:t>
            </a:r>
            <a:r>
              <a:rPr lang="en-US" altLang="zh-CN"/>
              <a:t>6</a:t>
            </a:r>
            <a:r>
              <a:rPr lang="zh-CN" altLang="en-US"/>
              <a:t>　</a:t>
            </a:r>
            <a:r>
              <a:rPr lang="en-US" altLang="zh-CN" i="1"/>
              <a:t>I</a:t>
            </a:r>
            <a:r>
              <a:rPr lang="en-US" altLang="zh-CN" i="0">
                <a:latin typeface="宋体" panose="02010600030101010101" pitchFamily="2" charset="-122"/>
                <a:ea typeface="宋体" panose="02010600030101010101" pitchFamily="2" charset="-122"/>
              </a:rPr>
              <a:t>-</a:t>
            </a:r>
            <a:r>
              <a:rPr lang="en-US" altLang="zh-CN" i="1"/>
              <a:t>U</a:t>
            </a:r>
            <a:r>
              <a:rPr lang="zh-CN" altLang="en-US"/>
              <a:t>实验曲线</a:t>
            </a:r>
          </a:p>
        </c:rich>
      </c:tx>
      <c:layout>
        <c:manualLayout>
          <c:xMode val="edge"/>
          <c:yMode val="edge"/>
          <c:x val="0.38959660297239918"/>
          <c:y val="3.49872773536895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5066285504120904E-2"/>
          <c:y val="0.15410480655566908"/>
          <c:w val="0.89712640219335638"/>
          <c:h val="0.73309415760052898"/>
        </c:manualLayout>
      </c:layout>
      <c:scatterChart>
        <c:scatterStyle val="smoothMarker"/>
        <c:varyColors val="0"/>
        <c:ser>
          <c:idx val="0"/>
          <c:order val="0"/>
          <c:tx>
            <c:v>U (λ=436nm, Φ=2mm)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x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'I-U关系'!$B$9:$B$39</c:f>
              <c:numCache>
                <c:formatCode>0.0</c:formatCode>
                <c:ptCount val="31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-1.1000000000000001</c:v>
                </c:pt>
                <c:pt idx="7">
                  <c:v>-1</c:v>
                </c:pt>
                <c:pt idx="8">
                  <c:v>-0.5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16.5</c:v>
                </c:pt>
                <c:pt idx="26">
                  <c:v>18</c:v>
                </c:pt>
                <c:pt idx="27">
                  <c:v>19.5</c:v>
                </c:pt>
                <c:pt idx="28">
                  <c:v>21</c:v>
                </c:pt>
                <c:pt idx="29">
                  <c:v>22.5</c:v>
                </c:pt>
                <c:pt idx="30">
                  <c:v>24</c:v>
                </c:pt>
              </c:numCache>
            </c:numRef>
          </c:xVal>
          <c:yVal>
            <c:numRef>
              <c:f>'I-U关系'!$E$9:$E$39</c:f>
              <c:numCache>
                <c:formatCode>General</c:formatCode>
                <c:ptCount val="31"/>
                <c:pt idx="0">
                  <c:v>-1.37E-12</c:v>
                </c:pt>
                <c:pt idx="1">
                  <c:v>-1.2100000000000001E-12</c:v>
                </c:pt>
                <c:pt idx="2">
                  <c:v>-1.18E-12</c:v>
                </c:pt>
                <c:pt idx="3">
                  <c:v>-1.1099999999999999E-12</c:v>
                </c:pt>
                <c:pt idx="4">
                  <c:v>-1.0699999999999999E-12</c:v>
                </c:pt>
                <c:pt idx="5">
                  <c:v>-9.6999999999999991E-13</c:v>
                </c:pt>
                <c:pt idx="6">
                  <c:v>0</c:v>
                </c:pt>
                <c:pt idx="7">
                  <c:v>4.7000000000000002E-13</c:v>
                </c:pt>
                <c:pt idx="8">
                  <c:v>5.8700000000000006E-12</c:v>
                </c:pt>
                <c:pt idx="9">
                  <c:v>1.31E-11</c:v>
                </c:pt>
                <c:pt idx="10">
                  <c:v>3.0700000000000001E-11</c:v>
                </c:pt>
                <c:pt idx="11">
                  <c:v>4.7099999999999998E-11</c:v>
                </c:pt>
                <c:pt idx="12">
                  <c:v>7.2099999999999989E-11</c:v>
                </c:pt>
                <c:pt idx="13">
                  <c:v>1.039E-10</c:v>
                </c:pt>
                <c:pt idx="14">
                  <c:v>1.2779999999999999E-10</c:v>
                </c:pt>
                <c:pt idx="15">
                  <c:v>1.4449999999999999E-10</c:v>
                </c:pt>
                <c:pt idx="16">
                  <c:v>1.505E-10</c:v>
                </c:pt>
                <c:pt idx="17">
                  <c:v>1.666E-10</c:v>
                </c:pt>
                <c:pt idx="18">
                  <c:v>1.86E-10</c:v>
                </c:pt>
                <c:pt idx="19">
                  <c:v>2.0699999999999998E-10</c:v>
                </c:pt>
                <c:pt idx="20">
                  <c:v>2.26E-10</c:v>
                </c:pt>
                <c:pt idx="21">
                  <c:v>2.4399999999999998E-10</c:v>
                </c:pt>
                <c:pt idx="22">
                  <c:v>2.6099999999999998E-10</c:v>
                </c:pt>
                <c:pt idx="23">
                  <c:v>2.7499999999999998E-10</c:v>
                </c:pt>
                <c:pt idx="24">
                  <c:v>2.8899999999999998E-10</c:v>
                </c:pt>
                <c:pt idx="25">
                  <c:v>3.0499999999999998E-10</c:v>
                </c:pt>
                <c:pt idx="26">
                  <c:v>3.1899999999999998E-10</c:v>
                </c:pt>
                <c:pt idx="27">
                  <c:v>3.3199999999999999E-10</c:v>
                </c:pt>
                <c:pt idx="28">
                  <c:v>3.4899999999999998E-10</c:v>
                </c:pt>
                <c:pt idx="29">
                  <c:v>3.6599999999999998E-10</c:v>
                </c:pt>
                <c:pt idx="30">
                  <c:v>3.8099999999999998E-10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DE-48CF-965D-B71AA9E2F738}"/>
            </c:ext>
          </c:extLst>
        </c:ser>
        <c:ser>
          <c:idx val="1"/>
          <c:order val="1"/>
          <c:tx>
            <c:v>U (λ=546nm, Φ=4mm)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'I-U关系'!$I$9:$I$39</c:f>
              <c:numCache>
                <c:formatCode>0.0</c:formatCode>
                <c:ptCount val="31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-0.4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16.5</c:v>
                </c:pt>
                <c:pt idx="26">
                  <c:v>18</c:v>
                </c:pt>
                <c:pt idx="27">
                  <c:v>19.5</c:v>
                </c:pt>
                <c:pt idx="28">
                  <c:v>21</c:v>
                </c:pt>
                <c:pt idx="29">
                  <c:v>22.5</c:v>
                </c:pt>
                <c:pt idx="30">
                  <c:v>24</c:v>
                </c:pt>
              </c:numCache>
            </c:numRef>
          </c:xVal>
          <c:yVal>
            <c:numRef>
              <c:f>'I-U关系'!$L$9:$L$39</c:f>
              <c:numCache>
                <c:formatCode>General</c:formatCode>
                <c:ptCount val="31"/>
                <c:pt idx="0">
                  <c:v>1.3100000000000001E-12</c:v>
                </c:pt>
                <c:pt idx="1">
                  <c:v>1.2800000000000002E-12</c:v>
                </c:pt>
                <c:pt idx="2">
                  <c:v>1.2400000000000002E-12</c:v>
                </c:pt>
                <c:pt idx="3">
                  <c:v>1.2000000000000001E-12</c:v>
                </c:pt>
                <c:pt idx="4">
                  <c:v>1.1499999999999999E-12</c:v>
                </c:pt>
                <c:pt idx="5">
                  <c:v>1.1199999999999999E-12</c:v>
                </c:pt>
                <c:pt idx="6">
                  <c:v>1.09E-12</c:v>
                </c:pt>
                <c:pt idx="7">
                  <c:v>2.7000000000000001E-13</c:v>
                </c:pt>
                <c:pt idx="8">
                  <c:v>0</c:v>
                </c:pt>
                <c:pt idx="9">
                  <c:v>7.0299999999999997E-12</c:v>
                </c:pt>
                <c:pt idx="10">
                  <c:v>2.6000000000000001E-11</c:v>
                </c:pt>
                <c:pt idx="11">
                  <c:v>4.3099999999999999E-11</c:v>
                </c:pt>
                <c:pt idx="12">
                  <c:v>6.6200000000000001E-11</c:v>
                </c:pt>
                <c:pt idx="13">
                  <c:v>8.2599999999999991E-11</c:v>
                </c:pt>
                <c:pt idx="14">
                  <c:v>1.029E-10</c:v>
                </c:pt>
                <c:pt idx="15">
                  <c:v>1.173E-10</c:v>
                </c:pt>
                <c:pt idx="16">
                  <c:v>1.233E-10</c:v>
                </c:pt>
                <c:pt idx="17">
                  <c:v>1.366E-10</c:v>
                </c:pt>
                <c:pt idx="18">
                  <c:v>1.5249999999999999E-10</c:v>
                </c:pt>
                <c:pt idx="19">
                  <c:v>1.65E-10</c:v>
                </c:pt>
                <c:pt idx="20">
                  <c:v>1.7480000000000001E-10</c:v>
                </c:pt>
                <c:pt idx="21">
                  <c:v>1.87E-10</c:v>
                </c:pt>
                <c:pt idx="22">
                  <c:v>1.9769999999999997E-10</c:v>
                </c:pt>
                <c:pt idx="23">
                  <c:v>2.1E-10</c:v>
                </c:pt>
                <c:pt idx="24">
                  <c:v>2.1899999999999997E-10</c:v>
                </c:pt>
                <c:pt idx="25">
                  <c:v>2.2999999999999998E-10</c:v>
                </c:pt>
                <c:pt idx="26">
                  <c:v>2.4099999999999999E-10</c:v>
                </c:pt>
                <c:pt idx="27">
                  <c:v>2.5300000000000001E-10</c:v>
                </c:pt>
                <c:pt idx="28">
                  <c:v>2.6399999999999997E-10</c:v>
                </c:pt>
                <c:pt idx="29">
                  <c:v>2.7399999999999998E-10</c:v>
                </c:pt>
                <c:pt idx="30">
                  <c:v>2.8399999999999995E-10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43-49B9-9B1C-393B37495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33664"/>
        <c:axId val="120642784"/>
      </c:scatterChart>
      <c:valAx>
        <c:axId val="120633664"/>
        <c:scaling>
          <c:orientation val="minMax"/>
          <c:max val="25"/>
          <c:min val="-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200" i="1"/>
                  <a:t>U</a:t>
                </a:r>
                <a:r>
                  <a:rPr lang="en-US" altLang="zh-CN" sz="1200"/>
                  <a:t> (V)</a:t>
                </a:r>
                <a:endParaRPr lang="zh-CN" altLang="en-US" sz="1200"/>
              </a:p>
            </c:rich>
          </c:tx>
          <c:layout>
            <c:manualLayout>
              <c:xMode val="edge"/>
              <c:yMode val="edge"/>
              <c:x val="0.92707424310814657"/>
              <c:y val="0.865357085612390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20642784"/>
        <c:crosses val="autoZero"/>
        <c:crossBetween val="midCat"/>
        <c:majorUnit val="2.5"/>
      </c:valAx>
      <c:valAx>
        <c:axId val="120642784"/>
        <c:scaling>
          <c:orientation val="minMax"/>
          <c:max val="4.0000000000000022E-10"/>
          <c:min val="-5.0000000000000028E-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200" i="1"/>
                  <a:t>I</a:t>
                </a:r>
                <a:r>
                  <a:rPr lang="en-US" altLang="zh-CN" sz="1200"/>
                  <a:t> (A)</a:t>
                </a:r>
                <a:endParaRPr lang="zh-CN" altLang="en-US" sz="1200"/>
              </a:p>
            </c:rich>
          </c:tx>
          <c:layout>
            <c:manualLayout>
              <c:xMode val="edge"/>
              <c:yMode val="edge"/>
              <c:x val="0.17409766454352441"/>
              <c:y val="8.771237803289855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12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20633664"/>
        <c:crosses val="autoZero"/>
        <c:crossBetween val="midCat"/>
        <c:majorUnit val="5.0000000000000028E-1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27557383352559"/>
          <c:y val="0.90973207309010051"/>
          <c:w val="0.59699349683200431"/>
          <c:h val="5.21653543307086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/>
              <a:t>图</a:t>
            </a:r>
            <a:r>
              <a:rPr lang="en-US"/>
              <a:t>7    </a:t>
            </a:r>
            <a:r>
              <a:rPr lang="en-US" altLang="zh-CN" i="1"/>
              <a:t>I</a:t>
            </a:r>
            <a:r>
              <a:rPr lang="en-US" altLang="zh-CN" i="1" baseline="-25000"/>
              <a:t>m</a:t>
            </a:r>
            <a:r>
              <a:rPr lang="en-US" altLang="zh-CN" i="0">
                <a:latin typeface="宋体" panose="02010600030101010101" pitchFamily="2" charset="-122"/>
                <a:ea typeface="宋体" panose="02010600030101010101" pitchFamily="2" charset="-122"/>
              </a:rPr>
              <a:t>-</a:t>
            </a:r>
            <a:r>
              <a:rPr lang="en-US" altLang="zh-CN" i="1"/>
              <a:t>P</a:t>
            </a:r>
            <a:r>
              <a:rPr lang="en-US" altLang="zh-CN" i="1" baseline="-25000"/>
              <a:t>r </a:t>
            </a:r>
            <a:r>
              <a:rPr lang="zh-CN" altLang="en-US"/>
              <a:t>实验曲线</a:t>
            </a:r>
            <a:endParaRPr lang="zh-CN"/>
          </a:p>
        </c:rich>
      </c:tx>
      <c:layout>
        <c:manualLayout>
          <c:xMode val="edge"/>
          <c:yMode val="edge"/>
          <c:x val="0.34795881599043488"/>
          <c:y val="3.1982942430703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479684384225762"/>
          <c:y val="0.18550106609808106"/>
          <c:w val="0.84490154409325979"/>
          <c:h val="0.56105446978490237"/>
        </c:manualLayout>
      </c:layout>
      <c:scatterChart>
        <c:scatterStyle val="lineMarker"/>
        <c:varyColors val="0"/>
        <c:ser>
          <c:idx val="0"/>
          <c:order val="0"/>
          <c:tx>
            <c:v>Im (436nm)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宋体" panose="02010600030101010101" pitchFamily="2" charset="-122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'Im-P关系'!$C$6:$E$6</c:f>
              <c:numCache>
                <c:formatCode>General</c:formatCode>
                <c:ptCount val="3"/>
                <c:pt idx="0">
                  <c:v>4</c:v>
                </c:pt>
                <c:pt idx="1">
                  <c:v>16</c:v>
                </c:pt>
                <c:pt idx="2">
                  <c:v>64</c:v>
                </c:pt>
              </c:numCache>
            </c:numRef>
          </c:xVal>
          <c:yVal>
            <c:numRef>
              <c:f>'Im-P关系'!$C$11:$E$11</c:f>
              <c:numCache>
                <c:formatCode>General</c:formatCode>
                <c:ptCount val="3"/>
                <c:pt idx="0">
                  <c:v>4.2333333333333337E-10</c:v>
                </c:pt>
                <c:pt idx="1">
                  <c:v>1.7000000000000001E-9</c:v>
                </c:pt>
                <c:pt idx="2">
                  <c:v>7.0566666666666665E-9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89-4CE1-B23D-86CE5B11EF20}"/>
            </c:ext>
          </c:extLst>
        </c:ser>
        <c:ser>
          <c:idx val="1"/>
          <c:order val="1"/>
          <c:tx>
            <c:v>Im (546nm)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宋体" panose="02010600030101010101" pitchFamily="2" charset="-122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'Im-P关系'!$J$6:$L$6</c:f>
              <c:numCache>
                <c:formatCode>General</c:formatCode>
                <c:ptCount val="3"/>
                <c:pt idx="0">
                  <c:v>4</c:v>
                </c:pt>
                <c:pt idx="1">
                  <c:v>16</c:v>
                </c:pt>
                <c:pt idx="2">
                  <c:v>64</c:v>
                </c:pt>
              </c:numCache>
            </c:numRef>
          </c:xVal>
          <c:yVal>
            <c:numRef>
              <c:f>'Im-P关系'!$J$11:$L$11</c:f>
              <c:numCache>
                <c:formatCode>General</c:formatCode>
                <c:ptCount val="3"/>
                <c:pt idx="0">
                  <c:v>8.0000000000000021E-11</c:v>
                </c:pt>
                <c:pt idx="1">
                  <c:v>3.2000000000000008E-10</c:v>
                </c:pt>
                <c:pt idx="2">
                  <c:v>1.2766666666666666E-9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E89-4CE1-B23D-86CE5B11E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578256"/>
        <c:axId val="158579216"/>
      </c:scatterChart>
      <c:valAx>
        <c:axId val="15857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 sz="1100"/>
                  <a:t>相对光强</a:t>
                </a:r>
                <a:r>
                  <a:rPr lang="en-US" altLang="zh-CN" sz="1100" i="1"/>
                  <a:t>P</a:t>
                </a:r>
                <a:r>
                  <a:rPr lang="en-US" altLang="zh-CN" sz="1100" i="1" baseline="-25000"/>
                  <a:t>r</a:t>
                </a:r>
                <a:r>
                  <a:rPr lang="en-US" altLang="zh-CN" sz="1100"/>
                  <a:t> (mm</a:t>
                </a:r>
                <a:r>
                  <a:rPr lang="en-US" altLang="zh-CN" sz="1100" baseline="30000"/>
                  <a:t>2</a:t>
                </a:r>
                <a:r>
                  <a:rPr lang="en-US" altLang="zh-CN" sz="1100"/>
                  <a:t>)</a:t>
                </a:r>
                <a:endParaRPr lang="zh-CN" altLang="en-US" sz="1100"/>
              </a:p>
            </c:rich>
          </c:tx>
          <c:layout>
            <c:manualLayout>
              <c:xMode val="edge"/>
              <c:yMode val="edge"/>
              <c:x val="0.75445907600083528"/>
              <c:y val="0.811524244230427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58579216"/>
        <c:crosses val="autoZero"/>
        <c:crossBetween val="midCat"/>
      </c:valAx>
      <c:valAx>
        <c:axId val="15857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58578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87440473996913"/>
          <c:y val="0.86215975991048932"/>
          <c:w val="0.64511200920477763"/>
          <c:h val="0.111279815122711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/>
              <a:t>图</a:t>
            </a:r>
            <a:r>
              <a:rPr lang="en-US"/>
              <a:t>5   </a:t>
            </a:r>
            <a:r>
              <a:rPr lang="zh-CN"/>
              <a:t>汞原子第一激发电位测量图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'IP-VG2K第一激发'!$B$4:$B$120</c:f>
              <c:numCache>
                <c:formatCode>0.0</c:formatCode>
                <c:ptCount val="1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  <c:pt idx="116">
                  <c:v>60</c:v>
                </c:pt>
              </c:numCache>
            </c:numRef>
          </c:xVal>
          <c:yVal>
            <c:numRef>
              <c:f>'IP-VG2K第一激发'!$C$4:$C$120</c:f>
              <c:numCache>
                <c:formatCode>General</c:formatCode>
                <c:ptCount val="117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9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12</c:v>
                </c:pt>
                <c:pt idx="16">
                  <c:v>11</c:v>
                </c:pt>
                <c:pt idx="17">
                  <c:v>11</c:v>
                </c:pt>
                <c:pt idx="18">
                  <c:v>12</c:v>
                </c:pt>
                <c:pt idx="19">
                  <c:v>14</c:v>
                </c:pt>
                <c:pt idx="20">
                  <c:v>19</c:v>
                </c:pt>
                <c:pt idx="21">
                  <c:v>23</c:v>
                </c:pt>
                <c:pt idx="22">
                  <c:v>26</c:v>
                </c:pt>
                <c:pt idx="23">
                  <c:v>25</c:v>
                </c:pt>
                <c:pt idx="24">
                  <c:v>20</c:v>
                </c:pt>
                <c:pt idx="25">
                  <c:v>16</c:v>
                </c:pt>
                <c:pt idx="26">
                  <c:v>13</c:v>
                </c:pt>
                <c:pt idx="27">
                  <c:v>14</c:v>
                </c:pt>
                <c:pt idx="28">
                  <c:v>19</c:v>
                </c:pt>
                <c:pt idx="29">
                  <c:v>26</c:v>
                </c:pt>
                <c:pt idx="30">
                  <c:v>35</c:v>
                </c:pt>
                <c:pt idx="31">
                  <c:v>40</c:v>
                </c:pt>
                <c:pt idx="32">
                  <c:v>38</c:v>
                </c:pt>
                <c:pt idx="33">
                  <c:v>31</c:v>
                </c:pt>
                <c:pt idx="34">
                  <c:v>22</c:v>
                </c:pt>
                <c:pt idx="35">
                  <c:v>17</c:v>
                </c:pt>
                <c:pt idx="36">
                  <c:v>17</c:v>
                </c:pt>
                <c:pt idx="37">
                  <c:v>22</c:v>
                </c:pt>
                <c:pt idx="38">
                  <c:v>32</c:v>
                </c:pt>
                <c:pt idx="39">
                  <c:v>44</c:v>
                </c:pt>
                <c:pt idx="40">
                  <c:v>52</c:v>
                </c:pt>
                <c:pt idx="41">
                  <c:v>52</c:v>
                </c:pt>
                <c:pt idx="42">
                  <c:v>45</c:v>
                </c:pt>
                <c:pt idx="43">
                  <c:v>34</c:v>
                </c:pt>
                <c:pt idx="44">
                  <c:v>25</c:v>
                </c:pt>
                <c:pt idx="45">
                  <c:v>24</c:v>
                </c:pt>
                <c:pt idx="46">
                  <c:v>29</c:v>
                </c:pt>
                <c:pt idx="47">
                  <c:v>40</c:v>
                </c:pt>
                <c:pt idx="48">
                  <c:v>53</c:v>
                </c:pt>
                <c:pt idx="49">
                  <c:v>64</c:v>
                </c:pt>
                <c:pt idx="50">
                  <c:v>67</c:v>
                </c:pt>
                <c:pt idx="51">
                  <c:v>62</c:v>
                </c:pt>
                <c:pt idx="52">
                  <c:v>50</c:v>
                </c:pt>
                <c:pt idx="53">
                  <c:v>42</c:v>
                </c:pt>
                <c:pt idx="54">
                  <c:v>39</c:v>
                </c:pt>
                <c:pt idx="55">
                  <c:v>44</c:v>
                </c:pt>
                <c:pt idx="56">
                  <c:v>54</c:v>
                </c:pt>
                <c:pt idx="57">
                  <c:v>67</c:v>
                </c:pt>
                <c:pt idx="58">
                  <c:v>79</c:v>
                </c:pt>
                <c:pt idx="59">
                  <c:v>85</c:v>
                </c:pt>
                <c:pt idx="60">
                  <c:v>81</c:v>
                </c:pt>
                <c:pt idx="61">
                  <c:v>72</c:v>
                </c:pt>
                <c:pt idx="62">
                  <c:v>63</c:v>
                </c:pt>
                <c:pt idx="63">
                  <c:v>61</c:v>
                </c:pt>
                <c:pt idx="64">
                  <c:v>63</c:v>
                </c:pt>
                <c:pt idx="65">
                  <c:v>72</c:v>
                </c:pt>
                <c:pt idx="66">
                  <c:v>83</c:v>
                </c:pt>
                <c:pt idx="67">
                  <c:v>95</c:v>
                </c:pt>
                <c:pt idx="68">
                  <c:v>103</c:v>
                </c:pt>
                <c:pt idx="69">
                  <c:v>102</c:v>
                </c:pt>
                <c:pt idx="70">
                  <c:v>95</c:v>
                </c:pt>
                <c:pt idx="71">
                  <c:v>85</c:v>
                </c:pt>
                <c:pt idx="72">
                  <c:v>80</c:v>
                </c:pt>
                <c:pt idx="73">
                  <c:v>81</c:v>
                </c:pt>
                <c:pt idx="74">
                  <c:v>87</c:v>
                </c:pt>
                <c:pt idx="75">
                  <c:v>97</c:v>
                </c:pt>
                <c:pt idx="76">
                  <c:v>109</c:v>
                </c:pt>
                <c:pt idx="77">
                  <c:v>119</c:v>
                </c:pt>
                <c:pt idx="78">
                  <c:v>122</c:v>
                </c:pt>
                <c:pt idx="79">
                  <c:v>118</c:v>
                </c:pt>
                <c:pt idx="80">
                  <c:v>107</c:v>
                </c:pt>
                <c:pt idx="81">
                  <c:v>99</c:v>
                </c:pt>
                <c:pt idx="82">
                  <c:v>92</c:v>
                </c:pt>
                <c:pt idx="83">
                  <c:v>100</c:v>
                </c:pt>
                <c:pt idx="84">
                  <c:v>109</c:v>
                </c:pt>
                <c:pt idx="85">
                  <c:v>121</c:v>
                </c:pt>
                <c:pt idx="86">
                  <c:v>133</c:v>
                </c:pt>
                <c:pt idx="87">
                  <c:v>140</c:v>
                </c:pt>
                <c:pt idx="88">
                  <c:v>141</c:v>
                </c:pt>
                <c:pt idx="89">
                  <c:v>133</c:v>
                </c:pt>
                <c:pt idx="90">
                  <c:v>122</c:v>
                </c:pt>
                <c:pt idx="91">
                  <c:v>116</c:v>
                </c:pt>
                <c:pt idx="92">
                  <c:v>116</c:v>
                </c:pt>
                <c:pt idx="93">
                  <c:v>122</c:v>
                </c:pt>
                <c:pt idx="94">
                  <c:v>132</c:v>
                </c:pt>
                <c:pt idx="95">
                  <c:v>145</c:v>
                </c:pt>
                <c:pt idx="96">
                  <c:v>156</c:v>
                </c:pt>
                <c:pt idx="97">
                  <c:v>161</c:v>
                </c:pt>
                <c:pt idx="98">
                  <c:v>158</c:v>
                </c:pt>
                <c:pt idx="99">
                  <c:v>148</c:v>
                </c:pt>
                <c:pt idx="100">
                  <c:v>139</c:v>
                </c:pt>
                <c:pt idx="101">
                  <c:v>135</c:v>
                </c:pt>
                <c:pt idx="102">
                  <c:v>137</c:v>
                </c:pt>
                <c:pt idx="103">
                  <c:v>145</c:v>
                </c:pt>
                <c:pt idx="104">
                  <c:v>157</c:v>
                </c:pt>
                <c:pt idx="105">
                  <c:v>170</c:v>
                </c:pt>
                <c:pt idx="106">
                  <c:v>182</c:v>
                </c:pt>
                <c:pt idx="107">
                  <c:v>183</c:v>
                </c:pt>
                <c:pt idx="108">
                  <c:v>177</c:v>
                </c:pt>
                <c:pt idx="109">
                  <c:v>166</c:v>
                </c:pt>
                <c:pt idx="110">
                  <c:v>158</c:v>
                </c:pt>
                <c:pt idx="111">
                  <c:v>156</c:v>
                </c:pt>
                <c:pt idx="112">
                  <c:v>160</c:v>
                </c:pt>
                <c:pt idx="113">
                  <c:v>170</c:v>
                </c:pt>
                <c:pt idx="114">
                  <c:v>182</c:v>
                </c:pt>
                <c:pt idx="115">
                  <c:v>195</c:v>
                </c:pt>
                <c:pt idx="116">
                  <c:v>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54-4F05-9569-52484D90C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167743"/>
        <c:axId val="1804168703"/>
      </c:scatterChart>
      <c:valAx>
        <c:axId val="1804167743"/>
        <c:scaling>
          <c:orientation val="minMax"/>
          <c:max val="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200" i="1"/>
                  <a:t>V</a:t>
                </a:r>
                <a:r>
                  <a:rPr lang="en-US" altLang="zh-CN" sz="1200" i="1" baseline="-25000"/>
                  <a:t>G</a:t>
                </a:r>
                <a:r>
                  <a:rPr lang="en-US" altLang="zh-CN" sz="1200" i="0" baseline="-25000"/>
                  <a:t>2</a:t>
                </a:r>
                <a:r>
                  <a:rPr lang="en-US" altLang="zh-CN" sz="1200" i="1" baseline="-25000"/>
                  <a:t>K</a:t>
                </a:r>
                <a:r>
                  <a:rPr lang="en-US" altLang="zh-CN" sz="1200" i="1"/>
                  <a:t> </a:t>
                </a:r>
                <a:r>
                  <a:rPr lang="en-US" altLang="zh-CN" sz="1200"/>
                  <a:t>(V)</a:t>
                </a:r>
                <a:endParaRPr lang="zh-CN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804168703"/>
        <c:crosses val="autoZero"/>
        <c:crossBetween val="midCat"/>
        <c:majorUnit val="5"/>
      </c:valAx>
      <c:valAx>
        <c:axId val="180416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 sz="1200" i="1"/>
                  <a:t>I</a:t>
                </a:r>
                <a:r>
                  <a:rPr lang="en-US" altLang="zh-CN" sz="1200" i="1" baseline="-25000"/>
                  <a:t>P</a:t>
                </a:r>
                <a:r>
                  <a:rPr lang="en-US" altLang="zh-CN" sz="1200" i="1"/>
                  <a:t> </a:t>
                </a:r>
                <a:r>
                  <a:rPr lang="en-US" altLang="zh-CN" sz="1200"/>
                  <a:t>(nA)</a:t>
                </a:r>
                <a:endParaRPr lang="zh-CN" altLang="zh-CN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80416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/>
              <a:t>图</a:t>
            </a:r>
            <a:r>
              <a:rPr lang="en-US"/>
              <a:t>6   </a:t>
            </a:r>
            <a:r>
              <a:rPr lang="zh-CN"/>
              <a:t>汞原子高激发电位测量图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1"/>
              <c:layout>
                <c:manualLayout>
                  <c:x val="-1.2690355329949238E-2"/>
                  <c:y val="-5.160898603521554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983-44E8-9E05-26639AC35D4C}"/>
                </c:ext>
              </c:extLst>
            </c:dLbl>
            <c:dLbl>
              <c:idx val="23"/>
              <c:layout>
                <c:manualLayout>
                  <c:x val="-8.4602368866328256E-3"/>
                  <c:y val="-4.857316332726174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983-44E8-9E05-26639AC35D4C}"/>
                </c:ext>
              </c:extLst>
            </c:dLbl>
            <c:dLbl>
              <c:idx val="29"/>
              <c:layout>
                <c:manualLayout>
                  <c:x val="-4.2301184433164128E-3"/>
                  <c:y val="6.982392228293857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983-44E8-9E05-26639AC35D4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'IP-VG2K高激发'!$B$4:$B$60</c:f>
              <c:numCache>
                <c:formatCode>0.0</c:formatCode>
                <c:ptCount val="5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</c:numCache>
            </c:numRef>
          </c:xVal>
          <c:yVal>
            <c:numRef>
              <c:f>'IP-VG2K高激发'!$C$4:$C$60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5</c:v>
                </c:pt>
                <c:pt idx="7">
                  <c:v>9</c:v>
                </c:pt>
                <c:pt idx="8">
                  <c:v>14</c:v>
                </c:pt>
                <c:pt idx="9">
                  <c:v>14</c:v>
                </c:pt>
                <c:pt idx="10">
                  <c:v>16</c:v>
                </c:pt>
                <c:pt idx="11">
                  <c:v>18</c:v>
                </c:pt>
                <c:pt idx="12">
                  <c:v>15</c:v>
                </c:pt>
                <c:pt idx="13">
                  <c:v>5</c:v>
                </c:pt>
                <c:pt idx="14">
                  <c:v>1</c:v>
                </c:pt>
                <c:pt idx="15">
                  <c:v>2</c:v>
                </c:pt>
                <c:pt idx="16">
                  <c:v>5</c:v>
                </c:pt>
                <c:pt idx="17">
                  <c:v>9</c:v>
                </c:pt>
                <c:pt idx="18">
                  <c:v>14</c:v>
                </c:pt>
                <c:pt idx="19">
                  <c:v>16</c:v>
                </c:pt>
                <c:pt idx="20">
                  <c:v>18</c:v>
                </c:pt>
                <c:pt idx="21">
                  <c:v>22</c:v>
                </c:pt>
                <c:pt idx="22">
                  <c:v>26</c:v>
                </c:pt>
                <c:pt idx="23">
                  <c:v>27</c:v>
                </c:pt>
                <c:pt idx="24">
                  <c:v>26</c:v>
                </c:pt>
                <c:pt idx="25">
                  <c:v>19</c:v>
                </c:pt>
                <c:pt idx="26">
                  <c:v>14</c:v>
                </c:pt>
                <c:pt idx="27">
                  <c:v>12</c:v>
                </c:pt>
                <c:pt idx="28">
                  <c:v>15</c:v>
                </c:pt>
                <c:pt idx="29">
                  <c:v>16</c:v>
                </c:pt>
                <c:pt idx="30">
                  <c:v>16</c:v>
                </c:pt>
                <c:pt idx="31">
                  <c:v>19</c:v>
                </c:pt>
                <c:pt idx="32">
                  <c:v>24</c:v>
                </c:pt>
                <c:pt idx="33">
                  <c:v>29</c:v>
                </c:pt>
                <c:pt idx="34">
                  <c:v>31</c:v>
                </c:pt>
                <c:pt idx="35">
                  <c:v>33</c:v>
                </c:pt>
                <c:pt idx="36">
                  <c:v>32</c:v>
                </c:pt>
                <c:pt idx="37">
                  <c:v>28</c:v>
                </c:pt>
                <c:pt idx="38">
                  <c:v>26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26</c:v>
                </c:pt>
                <c:pt idx="43">
                  <c:v>30</c:v>
                </c:pt>
                <c:pt idx="44">
                  <c:v>32</c:v>
                </c:pt>
                <c:pt idx="45">
                  <c:v>35</c:v>
                </c:pt>
                <c:pt idx="46">
                  <c:v>38</c:v>
                </c:pt>
                <c:pt idx="47">
                  <c:v>40</c:v>
                </c:pt>
                <c:pt idx="48">
                  <c:v>40</c:v>
                </c:pt>
                <c:pt idx="49">
                  <c:v>41</c:v>
                </c:pt>
                <c:pt idx="50">
                  <c:v>40</c:v>
                </c:pt>
                <c:pt idx="51">
                  <c:v>40</c:v>
                </c:pt>
                <c:pt idx="52">
                  <c:v>41</c:v>
                </c:pt>
                <c:pt idx="53">
                  <c:v>41</c:v>
                </c:pt>
                <c:pt idx="54">
                  <c:v>42</c:v>
                </c:pt>
                <c:pt idx="55">
                  <c:v>44</c:v>
                </c:pt>
                <c:pt idx="56">
                  <c:v>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83-44E8-9E05-26639AC35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167743"/>
        <c:axId val="1804168703"/>
      </c:scatterChart>
      <c:valAx>
        <c:axId val="1804167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sz="1200" i="1"/>
                  <a:t>V</a:t>
                </a:r>
                <a:r>
                  <a:rPr lang="en-US" sz="1200" i="1" baseline="-25000"/>
                  <a:t>G</a:t>
                </a:r>
                <a:r>
                  <a:rPr lang="en-US" sz="1200" i="0" baseline="-25000"/>
                  <a:t>2</a:t>
                </a:r>
                <a:r>
                  <a:rPr lang="en-US" sz="1200" i="1" baseline="-25000"/>
                  <a:t>K</a:t>
                </a:r>
                <a:r>
                  <a:rPr lang="en-US" sz="1200"/>
                  <a:t> (V)</a:t>
                </a:r>
                <a:endParaRPr lang="zh-CN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804168703"/>
        <c:crosses val="autoZero"/>
        <c:crossBetween val="midCat"/>
        <c:majorUnit val="2.5"/>
      </c:valAx>
      <c:valAx>
        <c:axId val="18041687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sz="1200" i="1"/>
                  <a:t>I</a:t>
                </a:r>
                <a:r>
                  <a:rPr lang="en-US" sz="1200" i="1" baseline="-25000"/>
                  <a:t>P</a:t>
                </a:r>
                <a:r>
                  <a:rPr lang="en-US" sz="1200"/>
                  <a:t> (nA)</a:t>
                </a:r>
                <a:endParaRPr lang="zh-CN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804167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13</xdr:row>
      <xdr:rowOff>38100</xdr:rowOff>
    </xdr:from>
    <xdr:to>
      <xdr:col>8</xdr:col>
      <xdr:colOff>396240</xdr:colOff>
      <xdr:row>31</xdr:row>
      <xdr:rowOff>76200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88EC571-76C6-7CC2-CD17-1FAC0D245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471687</xdr:colOff>
      <xdr:row>1</xdr:row>
      <xdr:rowOff>60960</xdr:rowOff>
    </xdr:from>
    <xdr:to>
      <xdr:col>20</xdr:col>
      <xdr:colOff>235024</xdr:colOff>
      <xdr:row>13</xdr:row>
      <xdr:rowOff>145889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F1BFDA5-8E51-1F6D-3E74-DBE904F4F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88127" y="243840"/>
          <a:ext cx="3420937" cy="22794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13</xdr:row>
      <xdr:rowOff>38100</xdr:rowOff>
    </xdr:from>
    <xdr:to>
      <xdr:col>8</xdr:col>
      <xdr:colOff>472440</xdr:colOff>
      <xdr:row>30</xdr:row>
      <xdr:rowOff>106680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23121324-78BD-434A-9C1F-CF5485343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471687</xdr:colOff>
      <xdr:row>1</xdr:row>
      <xdr:rowOff>60960</xdr:rowOff>
    </xdr:from>
    <xdr:to>
      <xdr:col>20</xdr:col>
      <xdr:colOff>235024</xdr:colOff>
      <xdr:row>13</xdr:row>
      <xdr:rowOff>145889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A15ED5C4-799A-49D1-B776-106791A96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88127" y="243840"/>
          <a:ext cx="3420937" cy="22794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548640</xdr:colOff>
      <xdr:row>4</xdr:row>
      <xdr:rowOff>76200</xdr:rowOff>
    </xdr:from>
    <xdr:to>
      <xdr:col>22</xdr:col>
      <xdr:colOff>434340</xdr:colOff>
      <xdr:row>26</xdr:row>
      <xdr:rowOff>45720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84FF6D9-855F-3B39-CB41-A7046C669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312420</xdr:colOff>
      <xdr:row>2</xdr:row>
      <xdr:rowOff>60960</xdr:rowOff>
    </xdr:from>
    <xdr:to>
      <xdr:col>22</xdr:col>
      <xdr:colOff>320040</xdr:colOff>
      <xdr:row>27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29EB151-D2E5-AF42-EEFC-C1542D63F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0.01716</cdr:x>
      <cdr:y>0.09113</cdr:y>
    </cdr:from>
    <cdr:to>
      <cdr:x>0.28081</cdr:x>
      <cdr:y>0.17997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D6F5825B-460D-5A99-4522-FDC85F4EB839}"/>
            </a:ext>
          </a:extLst>
        </cdr:cNvPr>
        <cdr:cNvSpPr txBox="1"/>
      </cdr:nvSpPr>
      <cdr:spPr>
        <a:xfrm xmlns:a="http://schemas.openxmlformats.org/drawingml/2006/main">
          <a:off x="83820" y="348599"/>
          <a:ext cx="1287780" cy="3398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100" b="0" i="0" baseline="0">
              <a:effectLst/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饱和光电流</a:t>
          </a:r>
          <a:r>
            <a:rPr lang="en-US" altLang="zh-CN" sz="1100" b="0" i="1" baseline="0">
              <a:effectLst/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I</a:t>
          </a:r>
          <a:r>
            <a:rPr lang="en-US" altLang="zh-CN" sz="1100" b="0" i="1" baseline="-25000">
              <a:effectLst/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m</a:t>
          </a:r>
          <a:r>
            <a:rPr lang="en-US" altLang="zh-CN" sz="1100" b="0" i="0" baseline="0">
              <a:effectLst/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rPr>
            <a:t> (A)</a:t>
          </a:r>
          <a:endParaRPr lang="zh-CN" altLang="zh-CN">
            <a:effectLst/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  <a:p xmlns:a="http://schemas.openxmlformats.org/drawingml/2006/main">
          <a:endParaRPr lang="zh-CN" altLang="en-US" sz="1100" kern="1200">
            <a:latin typeface="Times New Roman" panose="02020603050405020304" pitchFamily="18" charset="0"/>
            <a:ea typeface="宋体" panose="02010600030101010101" pitchFamily="2" charset="-122"/>
            <a:cs typeface="Times New Roman" panose="02020603050405020304" pitchFamily="18" charset="0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354330</xdr:colOff>
      <xdr:row>7</xdr:row>
      <xdr:rowOff>152400</xdr:rowOff>
    </xdr:from>
    <xdr:to>
      <xdr:col>23</xdr:col>
      <xdr:colOff>236220</xdr:colOff>
      <xdr:row>30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33598CC-BAA2-42DD-37F2-B191F6BE6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251460</xdr:colOff>
      <xdr:row>5</xdr:row>
      <xdr:rowOff>167640</xdr:rowOff>
    </xdr:from>
    <xdr:to>
      <xdr:col>21</xdr:col>
      <xdr:colOff>160020</xdr:colOff>
      <xdr:row>28</xdr:row>
      <xdr:rowOff>144780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471001C-8714-462F-9D01-9B6BF0324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8EA8-B0A6-4FDC-A21D-5F0F5984E754}">
  <dimension ref="A1:S30"/>
  <sheetViews>
    <sheetView workbookViewId="0"/>
  </sheetViews>
  <sheetFormatPr defaultRowHeight="14.4"/>
  <cols>
    <col min="1" max="1" width="6.109375" customWidth="1"/>
    <col min="2" max="2" width="9.88671875" customWidth="1"/>
    <col min="3" max="3" width="6.44140625" customWidth="1"/>
    <col min="4" max="4" width="9.88671875" customWidth="1"/>
    <col min="5" max="9" width="11.44140625" customWidth="1"/>
    <col min="13" max="13" width="11.21875" customWidth="1"/>
    <col min="14" max="14" width="14.109375" bestFit="1" customWidth="1"/>
  </cols>
  <sheetData>
    <row r="1" spans="1:14">
      <c r="A1" t="s">
        <v>81</v>
      </c>
      <c r="B1" s="18" t="s">
        <v>19</v>
      </c>
      <c r="D1" s="17" t="s">
        <v>1</v>
      </c>
      <c r="F1" s="49" t="s">
        <v>58</v>
      </c>
      <c r="G1">
        <v>4</v>
      </c>
    </row>
    <row r="2" spans="1:14">
      <c r="D2" s="17" t="s">
        <v>20</v>
      </c>
    </row>
    <row r="3" spans="1:14">
      <c r="A3" s="71" t="s">
        <v>0</v>
      </c>
      <c r="B3" s="71"/>
      <c r="C3" s="71"/>
      <c r="D3" s="4"/>
      <c r="E3" s="3">
        <v>365</v>
      </c>
      <c r="F3" s="3">
        <v>405</v>
      </c>
      <c r="G3" s="3">
        <v>436</v>
      </c>
      <c r="H3" s="3">
        <v>546</v>
      </c>
      <c r="I3" s="3">
        <v>577</v>
      </c>
    </row>
    <row r="4" spans="1:14">
      <c r="A4" s="71" t="s">
        <v>2</v>
      </c>
      <c r="B4" s="71"/>
      <c r="C4" s="71"/>
      <c r="D4" s="4">
        <f>10^14</f>
        <v>100000000000000</v>
      </c>
      <c r="E4" s="3">
        <v>8.2140000000000004</v>
      </c>
      <c r="F4" s="3">
        <v>7.4080000000000004</v>
      </c>
      <c r="G4" s="3">
        <v>6.8789999999999996</v>
      </c>
      <c r="H4" s="3">
        <v>5.49</v>
      </c>
      <c r="I4" s="3">
        <v>5.1959999999999997</v>
      </c>
      <c r="K4" s="30" t="s">
        <v>45</v>
      </c>
      <c r="L4" s="31"/>
      <c r="M4" s="30"/>
    </row>
    <row r="5" spans="1:14">
      <c r="A5" s="71" t="s">
        <v>52</v>
      </c>
      <c r="B5" s="71"/>
      <c r="C5" s="71"/>
      <c r="D5" s="4">
        <v>1</v>
      </c>
      <c r="E5" s="3">
        <f>E4*$D$4</f>
        <v>821400000000000</v>
      </c>
      <c r="F5" s="3">
        <f t="shared" ref="F5:I5" si="0">F4*$D$4</f>
        <v>740800000000000</v>
      </c>
      <c r="G5" s="3">
        <f t="shared" si="0"/>
        <v>687900000000000</v>
      </c>
      <c r="H5" s="3">
        <f t="shared" si="0"/>
        <v>549000000000000</v>
      </c>
      <c r="I5" s="3">
        <f t="shared" si="0"/>
        <v>519600000000000</v>
      </c>
      <c r="L5" s="8" t="s">
        <v>37</v>
      </c>
      <c r="M5">
        <f>AVERAGE(E5:I5)</f>
        <v>663740000000000</v>
      </c>
    </row>
    <row r="6" spans="1:14" ht="14.4" customHeight="1">
      <c r="A6" s="76" t="s">
        <v>3</v>
      </c>
      <c r="B6" s="75" t="s">
        <v>13</v>
      </c>
      <c r="C6" s="3">
        <v>1</v>
      </c>
      <c r="D6" s="4"/>
      <c r="E6" s="6">
        <v>1.6970000000000001</v>
      </c>
      <c r="F6" s="6">
        <v>1.264</v>
      </c>
      <c r="G6" s="6">
        <v>1.075</v>
      </c>
      <c r="H6" s="6">
        <v>0.55700000000000005</v>
      </c>
      <c r="I6" s="6">
        <v>0.45100000000000001</v>
      </c>
      <c r="L6" s="8" t="s">
        <v>38</v>
      </c>
      <c r="M6">
        <f>AVERAGE(E11:I11)</f>
        <v>4.5361483399999999E+29</v>
      </c>
    </row>
    <row r="7" spans="1:14" ht="14.4" customHeight="1">
      <c r="A7" s="76"/>
      <c r="B7" s="75"/>
      <c r="C7" s="3">
        <v>2</v>
      </c>
      <c r="D7" s="4"/>
      <c r="E7" s="6">
        <v>1.698</v>
      </c>
      <c r="F7" s="6">
        <v>1.2609999999999999</v>
      </c>
      <c r="G7" s="6">
        <v>1.0740000000000001</v>
      </c>
      <c r="H7" s="6">
        <v>0.55500000000000005</v>
      </c>
      <c r="I7" s="6">
        <v>0.44900000000000001</v>
      </c>
      <c r="L7" s="8" t="s">
        <v>39</v>
      </c>
      <c r="M7" s="2">
        <f>AVERAGE(E10:I10)</f>
        <v>1.0076000000000001</v>
      </c>
    </row>
    <row r="8" spans="1:14" ht="14.4" customHeight="1">
      <c r="A8" s="76"/>
      <c r="B8" s="75"/>
      <c r="C8" s="3">
        <v>3</v>
      </c>
      <c r="D8" s="4"/>
      <c r="E8" s="6">
        <v>1.698</v>
      </c>
      <c r="F8" s="6">
        <v>1.26</v>
      </c>
      <c r="G8" s="6">
        <v>1.075</v>
      </c>
      <c r="H8" s="6">
        <v>0.55400000000000005</v>
      </c>
      <c r="I8" s="6">
        <v>0.45</v>
      </c>
      <c r="L8" s="8" t="s">
        <v>40</v>
      </c>
      <c r="M8">
        <f>AVERAGE(E12:I12)</f>
        <v>721260865000000</v>
      </c>
    </row>
    <row r="9" spans="1:14" ht="14.4" customHeight="1">
      <c r="A9" s="76"/>
      <c r="B9" s="75"/>
      <c r="C9" s="3">
        <v>4</v>
      </c>
      <c r="D9" s="4"/>
      <c r="E9" s="6">
        <v>1.698</v>
      </c>
      <c r="F9" s="6">
        <v>1.26</v>
      </c>
      <c r="G9" s="6">
        <v>1.075</v>
      </c>
      <c r="H9" s="6">
        <v>0.55300000000000005</v>
      </c>
      <c r="I9" s="6">
        <v>0.44800000000000001</v>
      </c>
    </row>
    <row r="10" spans="1:14" ht="14.4" customHeight="1">
      <c r="A10" s="76"/>
      <c r="B10" s="75"/>
      <c r="C10" s="3" t="s">
        <v>4</v>
      </c>
      <c r="D10" s="4"/>
      <c r="E10" s="7">
        <f>AVERAGE(E6:E9)</f>
        <v>1.6977500000000001</v>
      </c>
      <c r="F10" s="7">
        <f t="shared" ref="F10:I10" si="1">AVERAGE(F6:F9)</f>
        <v>1.26125</v>
      </c>
      <c r="G10" s="7">
        <f t="shared" si="1"/>
        <v>1.0747500000000001</v>
      </c>
      <c r="H10" s="7">
        <f t="shared" si="1"/>
        <v>0.55475000000000008</v>
      </c>
      <c r="I10" s="7">
        <f t="shared" si="1"/>
        <v>0.44950000000000001</v>
      </c>
    </row>
    <row r="11" spans="1:14">
      <c r="A11" s="72" t="s">
        <v>41</v>
      </c>
      <c r="B11" s="73"/>
      <c r="C11" s="73"/>
      <c r="E11" s="28">
        <f>E5^2</f>
        <v>6.7469795999999994E+29</v>
      </c>
      <c r="F11" s="28">
        <f t="shared" ref="F11:I11" si="2">F5^2</f>
        <v>5.4878463999999999E+29</v>
      </c>
      <c r="G11" s="28">
        <f t="shared" si="2"/>
        <v>4.7320641000000003E+29</v>
      </c>
      <c r="H11" s="28">
        <f t="shared" si="2"/>
        <v>3.0140099999999999E+29</v>
      </c>
      <c r="I11" s="28">
        <f t="shared" si="2"/>
        <v>2.6998415999999999E+29</v>
      </c>
    </row>
    <row r="12" spans="1:14">
      <c r="A12" s="74" t="s">
        <v>42</v>
      </c>
      <c r="B12" s="73"/>
      <c r="C12" s="73"/>
      <c r="E12">
        <f>E5*E10</f>
        <v>1394531850000000</v>
      </c>
      <c r="F12">
        <f t="shared" ref="F12:I12" si="3">F5*F10</f>
        <v>934334000000000</v>
      </c>
      <c r="G12">
        <f t="shared" si="3"/>
        <v>739320525000000.13</v>
      </c>
      <c r="H12">
        <f t="shared" si="3"/>
        <v>304557750000000.06</v>
      </c>
      <c r="I12">
        <f t="shared" si="3"/>
        <v>233560200000000</v>
      </c>
    </row>
    <row r="13" spans="1:14">
      <c r="K13" s="10"/>
      <c r="L13" s="23" t="s">
        <v>5</v>
      </c>
      <c r="M13" s="11">
        <f>SLOPE(E10:I10,E5:I5)</f>
        <v>4.0168596614904853E-15</v>
      </c>
      <c r="N13" s="9" t="s">
        <v>9</v>
      </c>
    </row>
    <row r="14" spans="1:14">
      <c r="K14" s="13"/>
      <c r="L14" s="22" t="s">
        <v>6</v>
      </c>
      <c r="M14" s="11">
        <f>INTERCEPT(E10:I10,E5:I5)</f>
        <v>-1.6585504317176945</v>
      </c>
      <c r="N14" s="9" t="s">
        <v>11</v>
      </c>
    </row>
    <row r="15" spans="1:14">
      <c r="K15" s="13"/>
      <c r="L15" s="22" t="s">
        <v>7</v>
      </c>
      <c r="M15" s="11">
        <f>-M14/M13</f>
        <v>412897280833126.5</v>
      </c>
      <c r="N15" s="9" t="s">
        <v>10</v>
      </c>
    </row>
    <row r="16" spans="1:14">
      <c r="K16" s="13"/>
      <c r="L16" s="22" t="s">
        <v>8</v>
      </c>
      <c r="M16" s="14">
        <f>PEARSON(E5:I5,E10:I10)</f>
        <v>0.99634318600331162</v>
      </c>
    </row>
    <row r="17" spans="8:19">
      <c r="K17" s="13"/>
      <c r="L17" s="22" t="s">
        <v>14</v>
      </c>
      <c r="M17" s="32" t="s">
        <v>44</v>
      </c>
      <c r="N17" s="15">
        <f>M13</f>
        <v>4.0168596614904853E-15</v>
      </c>
      <c r="O17" s="19" t="s">
        <v>43</v>
      </c>
      <c r="P17" s="16">
        <f>-M14</f>
        <v>1.6585504317176945</v>
      </c>
    </row>
    <row r="18" spans="8:19">
      <c r="L18" s="8"/>
    </row>
    <row r="19" spans="8:19">
      <c r="K19" s="10"/>
      <c r="L19" s="25" t="s">
        <v>49</v>
      </c>
      <c r="M19" s="9">
        <f>1.60218*10^-19</f>
        <v>1.60218E-19</v>
      </c>
      <c r="N19" s="9" t="s">
        <v>12</v>
      </c>
    </row>
    <row r="20" spans="8:19">
      <c r="I20" s="2"/>
      <c r="J20" s="2"/>
      <c r="K20" s="35"/>
      <c r="L20" s="36" t="s">
        <v>46</v>
      </c>
      <c r="M20" s="33">
        <f>M13*M19</f>
        <v>6.4357322124468256E-34</v>
      </c>
      <c r="N20" s="33" t="s">
        <v>16</v>
      </c>
      <c r="P20" s="2"/>
    </row>
    <row r="21" spans="8:19">
      <c r="I21" s="2"/>
      <c r="J21" s="2"/>
      <c r="K21" s="37"/>
      <c r="L21" s="38" t="s">
        <v>47</v>
      </c>
      <c r="M21" s="33">
        <f>M15</f>
        <v>412897280833126.5</v>
      </c>
      <c r="N21" s="33" t="s">
        <v>10</v>
      </c>
      <c r="P21" s="2"/>
    </row>
    <row r="22" spans="8:19">
      <c r="I22" s="2"/>
      <c r="J22" s="2"/>
      <c r="K22" s="12"/>
      <c r="L22" s="21" t="s">
        <v>15</v>
      </c>
      <c r="M22" s="9">
        <f>-M14*M19</f>
        <v>2.6572963306894556E-19</v>
      </c>
      <c r="N22" s="9" t="s">
        <v>17</v>
      </c>
      <c r="P22" s="2"/>
    </row>
    <row r="23" spans="8:19">
      <c r="I23" s="2"/>
      <c r="J23" s="2"/>
      <c r="K23" s="13"/>
      <c r="L23" s="29"/>
      <c r="M23" s="9">
        <f>-M14</f>
        <v>1.6585504317176945</v>
      </c>
      <c r="N23" s="9" t="s">
        <v>18</v>
      </c>
      <c r="P23" s="2"/>
    </row>
    <row r="24" spans="8:19">
      <c r="H24" s="2"/>
      <c r="I24" s="2"/>
      <c r="J24" s="2"/>
      <c r="L24" s="8"/>
    </row>
    <row r="25" spans="8:19">
      <c r="K25" s="24"/>
      <c r="L25" s="8"/>
      <c r="R25" s="64" t="s">
        <v>76</v>
      </c>
      <c r="S25" s="49" t="s">
        <v>77</v>
      </c>
    </row>
    <row r="26" spans="8:19">
      <c r="K26" s="5"/>
      <c r="L26" s="20" t="s">
        <v>28</v>
      </c>
      <c r="M26" s="9">
        <f>6.62607*10^-34</f>
        <v>6.6260700000000011E-34</v>
      </c>
      <c r="N26" s="9" t="s">
        <v>16</v>
      </c>
      <c r="R26" s="65" t="s">
        <v>78</v>
      </c>
      <c r="S26" s="49" t="s">
        <v>80</v>
      </c>
    </row>
    <row r="27" spans="8:19">
      <c r="K27" s="39"/>
      <c r="L27" s="40" t="s">
        <v>48</v>
      </c>
      <c r="M27" s="34">
        <f>ABS((M20-M26)/M26)</f>
        <v>2.872559262929239E-2</v>
      </c>
    </row>
    <row r="30" spans="8:19" ht="22.2">
      <c r="K30" s="66" t="s">
        <v>79</v>
      </c>
      <c r="L30" s="67"/>
      <c r="M30" s="67"/>
      <c r="N30" s="67"/>
      <c r="O30" s="67"/>
    </row>
  </sheetData>
  <mergeCells count="7">
    <mergeCell ref="A3:C3"/>
    <mergeCell ref="A11:C11"/>
    <mergeCell ref="A12:C12"/>
    <mergeCell ref="B6:B10"/>
    <mergeCell ref="A6:A10"/>
    <mergeCell ref="A5:C5"/>
    <mergeCell ref="A4:C4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B29B-55CB-4C35-A507-664F81E46F5F}">
  <dimension ref="A1:P30"/>
  <sheetViews>
    <sheetView workbookViewId="0"/>
  </sheetViews>
  <sheetFormatPr defaultRowHeight="14.4"/>
  <cols>
    <col min="1" max="1" width="6.109375" customWidth="1"/>
    <col min="2" max="2" width="9.88671875" customWidth="1"/>
    <col min="3" max="3" width="6.44140625" customWidth="1"/>
    <col min="4" max="4" width="9.88671875" customWidth="1"/>
    <col min="5" max="9" width="11.44140625" customWidth="1"/>
    <col min="13" max="13" width="9.88671875" customWidth="1"/>
    <col min="14" max="14" width="14.109375" bestFit="1" customWidth="1"/>
  </cols>
  <sheetData>
    <row r="1" spans="1:14">
      <c r="A1" s="1" t="s">
        <v>50</v>
      </c>
      <c r="B1" s="1"/>
      <c r="D1" s="17" t="s">
        <v>1</v>
      </c>
    </row>
    <row r="2" spans="1:14">
      <c r="D2" s="17" t="s">
        <v>20</v>
      </c>
    </row>
    <row r="3" spans="1:14">
      <c r="A3" s="71" t="s">
        <v>0</v>
      </c>
      <c r="B3" s="71"/>
      <c r="C3" s="71"/>
      <c r="D3" s="4"/>
      <c r="E3" s="3">
        <v>365</v>
      </c>
      <c r="F3" s="3">
        <v>405</v>
      </c>
      <c r="G3" s="3">
        <v>436</v>
      </c>
      <c r="H3" s="3">
        <v>546</v>
      </c>
      <c r="I3" s="3">
        <v>577</v>
      </c>
    </row>
    <row r="4" spans="1:14">
      <c r="A4" s="71" t="s">
        <v>2</v>
      </c>
      <c r="B4" s="71"/>
      <c r="C4" s="71"/>
      <c r="D4" s="4">
        <f>10^14</f>
        <v>100000000000000</v>
      </c>
      <c r="E4" s="3">
        <v>8.2140000000000004</v>
      </c>
      <c r="F4" s="3">
        <v>7.4080000000000004</v>
      </c>
      <c r="G4" s="3">
        <v>6.8789999999999996</v>
      </c>
      <c r="H4" s="3">
        <v>5.49</v>
      </c>
      <c r="I4" s="3">
        <v>5.1959999999999997</v>
      </c>
      <c r="K4" s="30" t="s">
        <v>45</v>
      </c>
      <c r="L4" s="31"/>
      <c r="M4" s="30"/>
    </row>
    <row r="5" spans="1:14">
      <c r="A5" s="71" t="s">
        <v>52</v>
      </c>
      <c r="B5" s="71"/>
      <c r="C5" s="71"/>
      <c r="D5" s="4">
        <v>1</v>
      </c>
      <c r="E5" s="3">
        <f>E4*$D$4</f>
        <v>821400000000000</v>
      </c>
      <c r="F5" s="3">
        <f t="shared" ref="F5:I5" si="0">F4*$D$4</f>
        <v>740800000000000</v>
      </c>
      <c r="G5" s="3">
        <f t="shared" si="0"/>
        <v>687900000000000</v>
      </c>
      <c r="H5" s="3">
        <f t="shared" si="0"/>
        <v>549000000000000</v>
      </c>
      <c r="I5" s="3">
        <f t="shared" si="0"/>
        <v>519600000000000</v>
      </c>
      <c r="L5" s="8" t="s">
        <v>37</v>
      </c>
      <c r="M5">
        <f>AVERAGE(E5:I5)</f>
        <v>663740000000000</v>
      </c>
    </row>
    <row r="6" spans="1:14" ht="14.4" customHeight="1">
      <c r="A6" s="76" t="s">
        <v>3</v>
      </c>
      <c r="B6" s="75" t="s">
        <v>13</v>
      </c>
      <c r="C6" s="3">
        <v>1</v>
      </c>
      <c r="D6" s="4"/>
      <c r="E6" s="6">
        <v>1.6970000000000001</v>
      </c>
      <c r="F6" s="6">
        <v>1.264</v>
      </c>
      <c r="G6" s="6">
        <v>1.075</v>
      </c>
      <c r="H6" s="6">
        <v>0.55700000000000005</v>
      </c>
      <c r="I6" s="6">
        <v>0.45100000000000001</v>
      </c>
      <c r="L6" s="8" t="s">
        <v>38</v>
      </c>
      <c r="M6">
        <f>AVERAGE(E11:I11)</f>
        <v>4.5361483399999999E+29</v>
      </c>
    </row>
    <row r="7" spans="1:14" ht="14.4" customHeight="1">
      <c r="A7" s="76"/>
      <c r="B7" s="75"/>
      <c r="C7" s="3">
        <v>2</v>
      </c>
      <c r="D7" s="4"/>
      <c r="E7" s="6">
        <v>1.698</v>
      </c>
      <c r="F7" s="6">
        <v>1.2609999999999999</v>
      </c>
      <c r="G7" s="6">
        <v>1.0740000000000001</v>
      </c>
      <c r="H7" s="6">
        <v>0.55500000000000005</v>
      </c>
      <c r="I7" s="6">
        <v>0.44900000000000001</v>
      </c>
      <c r="L7" s="8" t="s">
        <v>39</v>
      </c>
      <c r="M7" s="2">
        <f>AVERAGE(E10:I10)</f>
        <v>1.0076000000000001</v>
      </c>
    </row>
    <row r="8" spans="1:14" ht="14.4" customHeight="1">
      <c r="A8" s="76"/>
      <c r="B8" s="75"/>
      <c r="C8" s="3">
        <v>3</v>
      </c>
      <c r="D8" s="4"/>
      <c r="E8" s="6">
        <v>1.698</v>
      </c>
      <c r="F8" s="6">
        <v>1.26</v>
      </c>
      <c r="G8" s="6">
        <v>1.075</v>
      </c>
      <c r="H8" s="6">
        <v>0.55400000000000005</v>
      </c>
      <c r="I8" s="6">
        <v>0.45</v>
      </c>
      <c r="L8" s="8" t="s">
        <v>40</v>
      </c>
      <c r="M8">
        <f>AVERAGE(E12:I12)</f>
        <v>721260865000000</v>
      </c>
    </row>
    <row r="9" spans="1:14" ht="14.4" customHeight="1">
      <c r="A9" s="76"/>
      <c r="B9" s="75"/>
      <c r="C9" s="3">
        <v>4</v>
      </c>
      <c r="D9" s="4"/>
      <c r="E9" s="6">
        <v>1.698</v>
      </c>
      <c r="F9" s="6">
        <v>1.26</v>
      </c>
      <c r="G9" s="6">
        <v>1.075</v>
      </c>
      <c r="H9" s="6">
        <v>0.55300000000000005</v>
      </c>
      <c r="I9" s="6">
        <v>0.44800000000000001</v>
      </c>
    </row>
    <row r="10" spans="1:14" ht="14.4" customHeight="1">
      <c r="A10" s="76"/>
      <c r="B10" s="75"/>
      <c r="C10" s="3" t="s">
        <v>4</v>
      </c>
      <c r="D10" s="4"/>
      <c r="E10" s="7">
        <f>AVERAGE(E6:E9)</f>
        <v>1.6977500000000001</v>
      </c>
      <c r="F10" s="7">
        <f t="shared" ref="F10:I10" si="1">AVERAGE(F6:F9)</f>
        <v>1.26125</v>
      </c>
      <c r="G10" s="7">
        <f t="shared" si="1"/>
        <v>1.0747500000000001</v>
      </c>
      <c r="H10" s="7">
        <f t="shared" si="1"/>
        <v>0.55475000000000008</v>
      </c>
      <c r="I10" s="7">
        <f t="shared" si="1"/>
        <v>0.44950000000000001</v>
      </c>
    </row>
    <row r="11" spans="1:14">
      <c r="A11" s="72" t="s">
        <v>41</v>
      </c>
      <c r="B11" s="73"/>
      <c r="C11" s="73"/>
      <c r="E11" s="28">
        <f>E5^2</f>
        <v>6.7469795999999994E+29</v>
      </c>
      <c r="F11" s="28">
        <f t="shared" ref="F11:I11" si="2">F5^2</f>
        <v>5.4878463999999999E+29</v>
      </c>
      <c r="G11" s="28">
        <f t="shared" si="2"/>
        <v>4.7320641000000003E+29</v>
      </c>
      <c r="H11" s="28">
        <f t="shared" si="2"/>
        <v>3.0140099999999999E+29</v>
      </c>
      <c r="I11" s="28">
        <f t="shared" si="2"/>
        <v>2.6998415999999999E+29</v>
      </c>
    </row>
    <row r="12" spans="1:14">
      <c r="A12" s="74" t="s">
        <v>42</v>
      </c>
      <c r="B12" s="73"/>
      <c r="C12" s="73"/>
      <c r="E12">
        <f>E5*E10</f>
        <v>1394531850000000</v>
      </c>
      <c r="F12">
        <f t="shared" ref="F12:I12" si="3">F5*F10</f>
        <v>934334000000000</v>
      </c>
      <c r="G12">
        <f t="shared" si="3"/>
        <v>739320525000000.13</v>
      </c>
      <c r="H12">
        <f t="shared" si="3"/>
        <v>304557750000000.06</v>
      </c>
      <c r="I12">
        <f t="shared" si="3"/>
        <v>233560200000000</v>
      </c>
    </row>
    <row r="13" spans="1:14">
      <c r="K13" s="10"/>
      <c r="L13" s="23" t="s">
        <v>5</v>
      </c>
      <c r="M13" s="11">
        <f>SLOPE(E10:I10,E5:I5)</f>
        <v>4.0168596614904853E-15</v>
      </c>
      <c r="N13" s="9" t="s">
        <v>9</v>
      </c>
    </row>
    <row r="14" spans="1:14">
      <c r="K14" s="13"/>
      <c r="L14" s="22" t="s">
        <v>6</v>
      </c>
      <c r="M14" s="11">
        <f>INTERCEPT(E10:I10,E5:I5)</f>
        <v>-1.6585504317176945</v>
      </c>
      <c r="N14" s="9" t="s">
        <v>11</v>
      </c>
    </row>
    <row r="15" spans="1:14">
      <c r="K15" s="13"/>
      <c r="L15" s="22" t="s">
        <v>7</v>
      </c>
      <c r="M15" s="11">
        <f>-M14/M13</f>
        <v>412897280833126.5</v>
      </c>
      <c r="N15" s="9" t="s">
        <v>10</v>
      </c>
    </row>
    <row r="16" spans="1:14">
      <c r="K16" s="13"/>
      <c r="L16" s="22" t="s">
        <v>8</v>
      </c>
      <c r="M16" s="14">
        <f>PEARSON(E5:I5,E10:I10)</f>
        <v>0.99634318600331162</v>
      </c>
    </row>
    <row r="17" spans="8:16">
      <c r="K17" s="13"/>
      <c r="L17" s="22" t="s">
        <v>14</v>
      </c>
      <c r="M17" s="32" t="s">
        <v>44</v>
      </c>
      <c r="N17" s="15">
        <f>M13</f>
        <v>4.0168596614904853E-15</v>
      </c>
      <c r="O17" s="19" t="s">
        <v>43</v>
      </c>
      <c r="P17" s="16">
        <f>-M14</f>
        <v>1.6585504317176945</v>
      </c>
    </row>
    <row r="18" spans="8:16">
      <c r="L18" s="8"/>
    </row>
    <row r="19" spans="8:16">
      <c r="K19" s="10"/>
      <c r="L19" s="25" t="s">
        <v>49</v>
      </c>
      <c r="M19" s="9">
        <f>1.60218*10^-19</f>
        <v>1.60218E-19</v>
      </c>
      <c r="N19" s="9" t="s">
        <v>12</v>
      </c>
    </row>
    <row r="20" spans="8:16">
      <c r="I20" s="2"/>
      <c r="J20" s="2"/>
      <c r="K20" s="35"/>
      <c r="L20" s="36" t="s">
        <v>46</v>
      </c>
      <c r="M20" s="33">
        <f>M13*M19</f>
        <v>6.4357322124468256E-34</v>
      </c>
      <c r="N20" s="33" t="s">
        <v>16</v>
      </c>
      <c r="P20" s="2"/>
    </row>
    <row r="21" spans="8:16">
      <c r="I21" s="2"/>
      <c r="J21" s="2"/>
      <c r="K21" s="37"/>
      <c r="L21" s="38" t="s">
        <v>47</v>
      </c>
      <c r="M21" s="33">
        <f>M15</f>
        <v>412897280833126.5</v>
      </c>
      <c r="N21" s="33" t="s">
        <v>10</v>
      </c>
      <c r="P21" s="2"/>
    </row>
    <row r="22" spans="8:16">
      <c r="I22" s="2"/>
      <c r="J22" s="2"/>
      <c r="K22" s="12"/>
      <c r="L22" s="21" t="s">
        <v>15</v>
      </c>
      <c r="M22" s="9">
        <f>-M14*M19</f>
        <v>2.6572963306894556E-19</v>
      </c>
      <c r="N22" s="9" t="s">
        <v>17</v>
      </c>
      <c r="P22" s="2"/>
    </row>
    <row r="23" spans="8:16">
      <c r="I23" s="2"/>
      <c r="J23" s="2"/>
      <c r="K23" s="13"/>
      <c r="L23" s="29"/>
      <c r="M23" s="9">
        <f>-M14</f>
        <v>1.6585504317176945</v>
      </c>
      <c r="N23" s="9" t="s">
        <v>18</v>
      </c>
      <c r="P23" s="2"/>
    </row>
    <row r="24" spans="8:16">
      <c r="H24" s="2"/>
      <c r="I24" s="2"/>
      <c r="J24" s="2"/>
      <c r="L24" s="8"/>
    </row>
    <row r="25" spans="8:16">
      <c r="K25" s="24"/>
      <c r="L25" s="8"/>
    </row>
    <row r="26" spans="8:16">
      <c r="K26" s="26"/>
      <c r="L26" s="20" t="s">
        <v>28</v>
      </c>
      <c r="M26" s="9">
        <f>6.62607*10^-34</f>
        <v>6.6260700000000011E-34</v>
      </c>
      <c r="N26" s="9" t="s">
        <v>16</v>
      </c>
    </row>
    <row r="27" spans="8:16">
      <c r="K27" s="39"/>
      <c r="L27" s="40" t="s">
        <v>48</v>
      </c>
      <c r="M27" s="34">
        <f>ABS((M20-M26)/M26)</f>
        <v>2.872559262929239E-2</v>
      </c>
    </row>
    <row r="30" spans="8:16" ht="22.2">
      <c r="K30" s="66" t="s">
        <v>79</v>
      </c>
      <c r="L30" s="67"/>
      <c r="M30" s="67"/>
      <c r="N30" s="67"/>
      <c r="O30" s="67"/>
    </row>
  </sheetData>
  <mergeCells count="7">
    <mergeCell ref="A3:C3"/>
    <mergeCell ref="A11:C11"/>
    <mergeCell ref="A12:C12"/>
    <mergeCell ref="A4:C4"/>
    <mergeCell ref="A5:C5"/>
    <mergeCell ref="A6:A10"/>
    <mergeCell ref="B6:B10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B526-1E60-42BC-B41D-5D4CEC32783F}">
  <dimension ref="A1:R39"/>
  <sheetViews>
    <sheetView topLeftCell="G1" workbookViewId="0">
      <selection activeCell="X12" sqref="X12"/>
    </sheetView>
  </sheetViews>
  <sheetFormatPr defaultRowHeight="14.4"/>
  <cols>
    <col min="1" max="1" width="5.44140625" customWidth="1"/>
    <col min="5" max="5" width="11.6640625" bestFit="1" customWidth="1"/>
    <col min="8" max="8" width="6" customWidth="1"/>
    <col min="12" max="12" width="11.6640625" bestFit="1" customWidth="1"/>
  </cols>
  <sheetData>
    <row r="1" spans="1:18">
      <c r="A1" s="27" t="s">
        <v>21</v>
      </c>
      <c r="B1" s="27"/>
      <c r="G1" s="52" t="s">
        <v>21</v>
      </c>
      <c r="H1" s="52"/>
    </row>
    <row r="2" spans="1:18" ht="22.2">
      <c r="N2" s="66" t="s">
        <v>79</v>
      </c>
      <c r="O2" s="67"/>
      <c r="P2" s="67"/>
      <c r="Q2" s="67"/>
      <c r="R2" s="67"/>
    </row>
    <row r="3" spans="1:18">
      <c r="B3" s="5" t="s">
        <v>27</v>
      </c>
      <c r="C3" s="41" t="s">
        <v>30</v>
      </c>
      <c r="D3" s="5">
        <v>436</v>
      </c>
      <c r="I3" s="5" t="s">
        <v>31</v>
      </c>
      <c r="J3" s="41" t="s">
        <v>30</v>
      </c>
      <c r="K3" s="5">
        <v>546</v>
      </c>
    </row>
    <row r="4" spans="1:18">
      <c r="B4" s="5"/>
      <c r="C4" s="25" t="s">
        <v>29</v>
      </c>
      <c r="D4" s="5">
        <v>2</v>
      </c>
      <c r="I4" s="5"/>
      <c r="J4" s="25" t="s">
        <v>29</v>
      </c>
      <c r="K4" s="5">
        <v>4</v>
      </c>
    </row>
    <row r="6" spans="1:18">
      <c r="B6" t="s">
        <v>22</v>
      </c>
      <c r="I6" t="s">
        <v>22</v>
      </c>
    </row>
    <row r="8" spans="1:18">
      <c r="A8" s="5" t="s">
        <v>26</v>
      </c>
      <c r="B8" s="5" t="s">
        <v>53</v>
      </c>
      <c r="C8" s="5" t="s">
        <v>23</v>
      </c>
      <c r="D8" s="5" t="s">
        <v>24</v>
      </c>
      <c r="E8" s="5" t="s">
        <v>25</v>
      </c>
      <c r="H8" s="5" t="s">
        <v>26</v>
      </c>
      <c r="I8" s="5" t="s">
        <v>53</v>
      </c>
      <c r="J8" s="5" t="s">
        <v>23</v>
      </c>
      <c r="K8" s="5" t="s">
        <v>24</v>
      </c>
      <c r="L8" s="5" t="s">
        <v>25</v>
      </c>
    </row>
    <row r="9" spans="1:18">
      <c r="A9" s="5">
        <v>1</v>
      </c>
      <c r="B9" s="42">
        <v>-4</v>
      </c>
      <c r="C9" s="43">
        <v>-13.7</v>
      </c>
      <c r="D9" s="43">
        <f>10^-13</f>
        <v>1E-13</v>
      </c>
      <c r="E9" s="9">
        <f>C9*D9</f>
        <v>-1.37E-12</v>
      </c>
      <c r="H9" s="5">
        <v>1</v>
      </c>
      <c r="I9" s="42">
        <v>-4</v>
      </c>
      <c r="J9" s="42">
        <v>13.1</v>
      </c>
      <c r="K9" s="43">
        <f>10^-13</f>
        <v>1E-13</v>
      </c>
      <c r="L9" s="9">
        <f>J9*K9</f>
        <v>1.3100000000000001E-12</v>
      </c>
    </row>
    <row r="10" spans="1:18">
      <c r="A10" s="5">
        <v>2</v>
      </c>
      <c r="B10" s="42">
        <v>-3.5</v>
      </c>
      <c r="C10" s="43">
        <v>-12.1</v>
      </c>
      <c r="D10" s="43">
        <f t="shared" ref="D10:D18" si="0">10^-13</f>
        <v>1E-13</v>
      </c>
      <c r="E10" s="9">
        <f t="shared" ref="E10:E39" si="1">C10*D10</f>
        <v>-1.2100000000000001E-12</v>
      </c>
      <c r="H10" s="5">
        <v>2</v>
      </c>
      <c r="I10" s="42">
        <v>-3.5</v>
      </c>
      <c r="J10" s="42">
        <v>12.8</v>
      </c>
      <c r="K10" s="43">
        <f t="shared" ref="K10:K18" si="2">10^-13</f>
        <v>1E-13</v>
      </c>
      <c r="L10" s="9">
        <f t="shared" ref="L10:L39" si="3">J10*K10</f>
        <v>1.2800000000000002E-12</v>
      </c>
    </row>
    <row r="11" spans="1:18">
      <c r="A11" s="5">
        <v>3</v>
      </c>
      <c r="B11" s="42">
        <v>-3</v>
      </c>
      <c r="C11" s="43">
        <v>-11.8</v>
      </c>
      <c r="D11" s="43">
        <f t="shared" si="0"/>
        <v>1E-13</v>
      </c>
      <c r="E11" s="9">
        <f t="shared" si="1"/>
        <v>-1.18E-12</v>
      </c>
      <c r="H11" s="5">
        <v>3</v>
      </c>
      <c r="I11" s="42">
        <v>-3</v>
      </c>
      <c r="J11" s="42">
        <v>12.4</v>
      </c>
      <c r="K11" s="43">
        <f t="shared" si="2"/>
        <v>1E-13</v>
      </c>
      <c r="L11" s="9">
        <f t="shared" si="3"/>
        <v>1.2400000000000002E-12</v>
      </c>
    </row>
    <row r="12" spans="1:18">
      <c r="A12" s="5">
        <v>4</v>
      </c>
      <c r="B12" s="42">
        <v>-2.5</v>
      </c>
      <c r="C12" s="43">
        <v>-11.1</v>
      </c>
      <c r="D12" s="43">
        <f t="shared" si="0"/>
        <v>1E-13</v>
      </c>
      <c r="E12" s="9">
        <f t="shared" si="1"/>
        <v>-1.1099999999999999E-12</v>
      </c>
      <c r="H12" s="5">
        <v>4</v>
      </c>
      <c r="I12" s="42">
        <v>-2.5</v>
      </c>
      <c r="J12" s="42">
        <v>12</v>
      </c>
      <c r="K12" s="43">
        <f t="shared" si="2"/>
        <v>1E-13</v>
      </c>
      <c r="L12" s="9">
        <f t="shared" si="3"/>
        <v>1.2000000000000001E-12</v>
      </c>
    </row>
    <row r="13" spans="1:18">
      <c r="A13" s="5">
        <v>5</v>
      </c>
      <c r="B13" s="42">
        <v>-2</v>
      </c>
      <c r="C13" s="43">
        <v>-10.7</v>
      </c>
      <c r="D13" s="43">
        <f t="shared" si="0"/>
        <v>1E-13</v>
      </c>
      <c r="E13" s="9">
        <f t="shared" si="1"/>
        <v>-1.0699999999999999E-12</v>
      </c>
      <c r="H13" s="5">
        <v>5</v>
      </c>
      <c r="I13" s="42">
        <v>-2</v>
      </c>
      <c r="J13" s="42">
        <v>11.5</v>
      </c>
      <c r="K13" s="43">
        <f t="shared" si="2"/>
        <v>1E-13</v>
      </c>
      <c r="L13" s="9">
        <f t="shared" si="3"/>
        <v>1.1499999999999999E-12</v>
      </c>
    </row>
    <row r="14" spans="1:18">
      <c r="A14" s="5">
        <v>6</v>
      </c>
      <c r="B14" s="42">
        <v>-1.5</v>
      </c>
      <c r="C14" s="43">
        <v>-9.6999999999999993</v>
      </c>
      <c r="D14" s="43">
        <f t="shared" si="0"/>
        <v>1E-13</v>
      </c>
      <c r="E14" s="9">
        <f t="shared" si="1"/>
        <v>-9.6999999999999991E-13</v>
      </c>
      <c r="H14" s="5">
        <v>6</v>
      </c>
      <c r="I14" s="42">
        <v>-1.5</v>
      </c>
      <c r="J14" s="42">
        <v>11.2</v>
      </c>
      <c r="K14" s="43">
        <f t="shared" si="2"/>
        <v>1E-13</v>
      </c>
      <c r="L14" s="9">
        <f t="shared" si="3"/>
        <v>1.1199999999999999E-12</v>
      </c>
    </row>
    <row r="15" spans="1:18">
      <c r="A15" s="5">
        <v>7</v>
      </c>
      <c r="B15" s="42">
        <v>-1.1000000000000001</v>
      </c>
      <c r="C15" s="43">
        <v>0</v>
      </c>
      <c r="D15" s="43">
        <f t="shared" si="0"/>
        <v>1E-13</v>
      </c>
      <c r="E15" s="9">
        <f t="shared" si="1"/>
        <v>0</v>
      </c>
      <c r="H15" s="5">
        <v>7</v>
      </c>
      <c r="I15" s="42">
        <v>-1</v>
      </c>
      <c r="J15" s="42">
        <v>10.9</v>
      </c>
      <c r="K15" s="43">
        <f t="shared" si="2"/>
        <v>1E-13</v>
      </c>
      <c r="L15" s="9">
        <f t="shared" si="3"/>
        <v>1.09E-12</v>
      </c>
    </row>
    <row r="16" spans="1:18">
      <c r="A16" s="5">
        <v>8</v>
      </c>
      <c r="B16" s="42">
        <v>-1</v>
      </c>
      <c r="C16" s="43">
        <v>4.7</v>
      </c>
      <c r="D16" s="43">
        <f t="shared" si="0"/>
        <v>1E-13</v>
      </c>
      <c r="E16" s="9">
        <f t="shared" si="1"/>
        <v>4.7000000000000002E-13</v>
      </c>
      <c r="H16" s="5">
        <v>8</v>
      </c>
      <c r="I16" s="42">
        <v>-0.5</v>
      </c>
      <c r="J16" s="42">
        <v>2.7</v>
      </c>
      <c r="K16" s="43">
        <f t="shared" si="2"/>
        <v>1E-13</v>
      </c>
      <c r="L16" s="9">
        <f t="shared" si="3"/>
        <v>2.7000000000000001E-13</v>
      </c>
    </row>
    <row r="17" spans="1:12">
      <c r="A17" s="5">
        <v>9</v>
      </c>
      <c r="B17" s="42">
        <v>-0.5</v>
      </c>
      <c r="C17" s="43">
        <v>58.7</v>
      </c>
      <c r="D17" s="43">
        <f t="shared" si="0"/>
        <v>1E-13</v>
      </c>
      <c r="E17" s="9">
        <f t="shared" si="1"/>
        <v>5.8700000000000006E-12</v>
      </c>
      <c r="H17" s="5">
        <v>9</v>
      </c>
      <c r="I17" s="42">
        <v>-0.4</v>
      </c>
      <c r="J17" s="42">
        <v>0</v>
      </c>
      <c r="K17" s="43">
        <f t="shared" si="2"/>
        <v>1E-13</v>
      </c>
      <c r="L17" s="9">
        <f t="shared" si="3"/>
        <v>0</v>
      </c>
    </row>
    <row r="18" spans="1:12">
      <c r="A18" s="5">
        <v>10</v>
      </c>
      <c r="B18" s="42">
        <v>0</v>
      </c>
      <c r="C18" s="43">
        <v>131</v>
      </c>
      <c r="D18" s="43">
        <f t="shared" si="0"/>
        <v>1E-13</v>
      </c>
      <c r="E18" s="9">
        <f t="shared" si="1"/>
        <v>1.31E-11</v>
      </c>
      <c r="H18" s="5">
        <v>10</v>
      </c>
      <c r="I18" s="42">
        <v>0</v>
      </c>
      <c r="J18" s="42">
        <v>70.3</v>
      </c>
      <c r="K18" s="43">
        <f t="shared" si="2"/>
        <v>1E-13</v>
      </c>
      <c r="L18" s="9">
        <f t="shared" si="3"/>
        <v>7.0299999999999997E-12</v>
      </c>
    </row>
    <row r="19" spans="1:12">
      <c r="A19" s="5">
        <v>11</v>
      </c>
      <c r="B19" s="42">
        <v>1</v>
      </c>
      <c r="C19" s="43">
        <v>30.7</v>
      </c>
      <c r="D19" s="43">
        <f>10^-12</f>
        <v>9.9999999999999998E-13</v>
      </c>
      <c r="E19" s="9">
        <f t="shared" si="1"/>
        <v>3.0700000000000001E-11</v>
      </c>
      <c r="H19" s="5">
        <v>11</v>
      </c>
      <c r="I19" s="42">
        <v>1</v>
      </c>
      <c r="J19" s="42">
        <v>26</v>
      </c>
      <c r="K19" s="43">
        <f>10^-12</f>
        <v>9.9999999999999998E-13</v>
      </c>
      <c r="L19" s="9">
        <f t="shared" si="3"/>
        <v>2.6000000000000001E-11</v>
      </c>
    </row>
    <row r="20" spans="1:12">
      <c r="A20" s="5">
        <v>12</v>
      </c>
      <c r="B20" s="42">
        <v>2</v>
      </c>
      <c r="C20" s="43">
        <v>47.1</v>
      </c>
      <c r="D20" s="43">
        <f t="shared" ref="D20:D27" si="4">10^-12</f>
        <v>9.9999999999999998E-13</v>
      </c>
      <c r="E20" s="9">
        <f t="shared" si="1"/>
        <v>4.7099999999999998E-11</v>
      </c>
      <c r="H20" s="5">
        <v>12</v>
      </c>
      <c r="I20" s="42">
        <v>2</v>
      </c>
      <c r="J20" s="42">
        <v>43.1</v>
      </c>
      <c r="K20" s="43">
        <f t="shared" ref="K20:K31" si="5">10^-12</f>
        <v>9.9999999999999998E-13</v>
      </c>
      <c r="L20" s="9">
        <f t="shared" si="3"/>
        <v>4.3099999999999999E-11</v>
      </c>
    </row>
    <row r="21" spans="1:12">
      <c r="A21" s="5">
        <v>13</v>
      </c>
      <c r="B21" s="42">
        <v>3</v>
      </c>
      <c r="C21" s="43">
        <v>72.099999999999994</v>
      </c>
      <c r="D21" s="43">
        <f t="shared" si="4"/>
        <v>9.9999999999999998E-13</v>
      </c>
      <c r="E21" s="9">
        <f t="shared" si="1"/>
        <v>7.2099999999999989E-11</v>
      </c>
      <c r="H21" s="5">
        <v>13</v>
      </c>
      <c r="I21" s="42">
        <v>3</v>
      </c>
      <c r="J21" s="42">
        <v>66.2</v>
      </c>
      <c r="K21" s="43">
        <f t="shared" si="5"/>
        <v>9.9999999999999998E-13</v>
      </c>
      <c r="L21" s="9">
        <f t="shared" si="3"/>
        <v>6.6200000000000001E-11</v>
      </c>
    </row>
    <row r="22" spans="1:12">
      <c r="A22" s="5">
        <v>14</v>
      </c>
      <c r="B22" s="42">
        <v>4</v>
      </c>
      <c r="C22" s="43">
        <v>103.9</v>
      </c>
      <c r="D22" s="43">
        <f t="shared" si="4"/>
        <v>9.9999999999999998E-13</v>
      </c>
      <c r="E22" s="9">
        <f t="shared" si="1"/>
        <v>1.039E-10</v>
      </c>
      <c r="H22" s="5">
        <v>14</v>
      </c>
      <c r="I22" s="42">
        <v>4</v>
      </c>
      <c r="J22" s="42">
        <v>82.6</v>
      </c>
      <c r="K22" s="43">
        <f t="shared" si="5"/>
        <v>9.9999999999999998E-13</v>
      </c>
      <c r="L22" s="9">
        <f t="shared" si="3"/>
        <v>8.2599999999999991E-11</v>
      </c>
    </row>
    <row r="23" spans="1:12">
      <c r="A23" s="5">
        <v>15</v>
      </c>
      <c r="B23" s="42">
        <v>5</v>
      </c>
      <c r="C23" s="43">
        <v>127.8</v>
      </c>
      <c r="D23" s="43">
        <f t="shared" si="4"/>
        <v>9.9999999999999998E-13</v>
      </c>
      <c r="E23" s="9">
        <f t="shared" si="1"/>
        <v>1.2779999999999999E-10</v>
      </c>
      <c r="H23" s="5">
        <v>15</v>
      </c>
      <c r="I23" s="42">
        <v>5</v>
      </c>
      <c r="J23" s="42">
        <v>102.9</v>
      </c>
      <c r="K23" s="43">
        <f t="shared" si="5"/>
        <v>9.9999999999999998E-13</v>
      </c>
      <c r="L23" s="9">
        <f t="shared" si="3"/>
        <v>1.029E-10</v>
      </c>
    </row>
    <row r="24" spans="1:12">
      <c r="A24" s="5">
        <v>16</v>
      </c>
      <c r="B24" s="42">
        <v>6</v>
      </c>
      <c r="C24" s="43">
        <v>144.5</v>
      </c>
      <c r="D24" s="43">
        <f t="shared" si="4"/>
        <v>9.9999999999999998E-13</v>
      </c>
      <c r="E24" s="9">
        <f t="shared" si="1"/>
        <v>1.4449999999999999E-10</v>
      </c>
      <c r="H24" s="5">
        <v>16</v>
      </c>
      <c r="I24" s="42">
        <v>6</v>
      </c>
      <c r="J24" s="42">
        <v>117.3</v>
      </c>
      <c r="K24" s="43">
        <f t="shared" si="5"/>
        <v>9.9999999999999998E-13</v>
      </c>
      <c r="L24" s="9">
        <f t="shared" si="3"/>
        <v>1.173E-10</v>
      </c>
    </row>
    <row r="25" spans="1:12">
      <c r="A25" s="5">
        <v>17</v>
      </c>
      <c r="B25" s="42">
        <v>7</v>
      </c>
      <c r="C25" s="43">
        <v>150.5</v>
      </c>
      <c r="D25" s="43">
        <f t="shared" si="4"/>
        <v>9.9999999999999998E-13</v>
      </c>
      <c r="E25" s="9">
        <f t="shared" si="1"/>
        <v>1.505E-10</v>
      </c>
      <c r="H25" s="5">
        <v>17</v>
      </c>
      <c r="I25" s="42">
        <v>7</v>
      </c>
      <c r="J25" s="42">
        <v>123.3</v>
      </c>
      <c r="K25" s="43">
        <f t="shared" si="5"/>
        <v>9.9999999999999998E-13</v>
      </c>
      <c r="L25" s="9">
        <f t="shared" si="3"/>
        <v>1.233E-10</v>
      </c>
    </row>
    <row r="26" spans="1:12">
      <c r="A26" s="5">
        <v>18</v>
      </c>
      <c r="B26" s="42">
        <v>8</v>
      </c>
      <c r="C26" s="43">
        <v>166.6</v>
      </c>
      <c r="D26" s="43">
        <f t="shared" si="4"/>
        <v>9.9999999999999998E-13</v>
      </c>
      <c r="E26" s="9">
        <f t="shared" si="1"/>
        <v>1.666E-10</v>
      </c>
      <c r="H26" s="5">
        <v>18</v>
      </c>
      <c r="I26" s="42">
        <v>8</v>
      </c>
      <c r="J26" s="42">
        <v>136.6</v>
      </c>
      <c r="K26" s="43">
        <f t="shared" si="5"/>
        <v>9.9999999999999998E-13</v>
      </c>
      <c r="L26" s="9">
        <f t="shared" si="3"/>
        <v>1.366E-10</v>
      </c>
    </row>
    <row r="27" spans="1:12">
      <c r="A27" s="5">
        <v>19</v>
      </c>
      <c r="B27" s="42">
        <v>9</v>
      </c>
      <c r="C27" s="43">
        <v>186</v>
      </c>
      <c r="D27" s="43">
        <f t="shared" si="4"/>
        <v>9.9999999999999998E-13</v>
      </c>
      <c r="E27" s="9">
        <f t="shared" si="1"/>
        <v>1.86E-10</v>
      </c>
      <c r="H27" s="5">
        <v>19</v>
      </c>
      <c r="I27" s="42">
        <v>9</v>
      </c>
      <c r="J27" s="42">
        <v>152.5</v>
      </c>
      <c r="K27" s="43">
        <f t="shared" si="5"/>
        <v>9.9999999999999998E-13</v>
      </c>
      <c r="L27" s="9">
        <f t="shared" si="3"/>
        <v>1.5249999999999999E-10</v>
      </c>
    </row>
    <row r="28" spans="1:12">
      <c r="A28" s="5">
        <v>20</v>
      </c>
      <c r="B28" s="42">
        <v>10</v>
      </c>
      <c r="C28" s="43">
        <v>20.7</v>
      </c>
      <c r="D28" s="43">
        <f>10^-11</f>
        <v>9.9999999999999994E-12</v>
      </c>
      <c r="E28" s="9">
        <f t="shared" si="1"/>
        <v>2.0699999999999998E-10</v>
      </c>
      <c r="H28" s="5">
        <v>20</v>
      </c>
      <c r="I28" s="42">
        <v>10</v>
      </c>
      <c r="J28" s="42">
        <v>165</v>
      </c>
      <c r="K28" s="43">
        <f t="shared" si="5"/>
        <v>9.9999999999999998E-13</v>
      </c>
      <c r="L28" s="9">
        <f t="shared" si="3"/>
        <v>1.65E-10</v>
      </c>
    </row>
    <row r="29" spans="1:12">
      <c r="A29" s="5">
        <v>21</v>
      </c>
      <c r="B29" s="42">
        <v>11</v>
      </c>
      <c r="C29" s="43">
        <v>22.6</v>
      </c>
      <c r="D29" s="43">
        <f t="shared" ref="D29:D39" si="6">10^-11</f>
        <v>9.9999999999999994E-12</v>
      </c>
      <c r="E29" s="9">
        <f t="shared" si="1"/>
        <v>2.26E-10</v>
      </c>
      <c r="H29" s="5">
        <v>21</v>
      </c>
      <c r="I29" s="42">
        <v>11</v>
      </c>
      <c r="J29" s="42">
        <v>174.8</v>
      </c>
      <c r="K29" s="43">
        <f t="shared" si="5"/>
        <v>9.9999999999999998E-13</v>
      </c>
      <c r="L29" s="9">
        <f t="shared" si="3"/>
        <v>1.7480000000000001E-10</v>
      </c>
    </row>
    <row r="30" spans="1:12">
      <c r="A30" s="5">
        <v>22</v>
      </c>
      <c r="B30" s="42">
        <v>12</v>
      </c>
      <c r="C30" s="43">
        <v>24.4</v>
      </c>
      <c r="D30" s="43">
        <f t="shared" si="6"/>
        <v>9.9999999999999994E-12</v>
      </c>
      <c r="E30" s="9">
        <f t="shared" si="1"/>
        <v>2.4399999999999998E-10</v>
      </c>
      <c r="H30" s="5">
        <v>22</v>
      </c>
      <c r="I30" s="42">
        <v>12</v>
      </c>
      <c r="J30" s="42">
        <v>187</v>
      </c>
      <c r="K30" s="43">
        <f t="shared" si="5"/>
        <v>9.9999999999999998E-13</v>
      </c>
      <c r="L30" s="9">
        <f t="shared" si="3"/>
        <v>1.87E-10</v>
      </c>
    </row>
    <row r="31" spans="1:12">
      <c r="A31" s="5">
        <v>23</v>
      </c>
      <c r="B31" s="42">
        <v>13</v>
      </c>
      <c r="C31" s="43">
        <v>26.1</v>
      </c>
      <c r="D31" s="43">
        <f t="shared" si="6"/>
        <v>9.9999999999999994E-12</v>
      </c>
      <c r="E31" s="9">
        <f t="shared" si="1"/>
        <v>2.6099999999999998E-10</v>
      </c>
      <c r="H31" s="5">
        <v>23</v>
      </c>
      <c r="I31" s="42">
        <v>13</v>
      </c>
      <c r="J31" s="42">
        <v>197.7</v>
      </c>
      <c r="K31" s="43">
        <f t="shared" si="5"/>
        <v>9.9999999999999998E-13</v>
      </c>
      <c r="L31" s="9">
        <f t="shared" si="3"/>
        <v>1.9769999999999997E-10</v>
      </c>
    </row>
    <row r="32" spans="1:12">
      <c r="A32" s="5">
        <v>24</v>
      </c>
      <c r="B32" s="42">
        <v>14</v>
      </c>
      <c r="C32" s="43">
        <v>27.5</v>
      </c>
      <c r="D32" s="43">
        <f t="shared" si="6"/>
        <v>9.9999999999999994E-12</v>
      </c>
      <c r="E32" s="9">
        <f t="shared" si="1"/>
        <v>2.7499999999999998E-10</v>
      </c>
      <c r="H32" s="5">
        <v>24</v>
      </c>
      <c r="I32" s="42">
        <v>14</v>
      </c>
      <c r="J32" s="42">
        <v>21</v>
      </c>
      <c r="K32" s="43">
        <f t="shared" ref="K32:K39" si="7">10^-11</f>
        <v>9.9999999999999994E-12</v>
      </c>
      <c r="L32" s="9">
        <f t="shared" si="3"/>
        <v>2.1E-10</v>
      </c>
    </row>
    <row r="33" spans="1:12">
      <c r="A33" s="5">
        <v>25</v>
      </c>
      <c r="B33" s="42">
        <v>15</v>
      </c>
      <c r="C33" s="43">
        <v>28.9</v>
      </c>
      <c r="D33" s="43">
        <f t="shared" si="6"/>
        <v>9.9999999999999994E-12</v>
      </c>
      <c r="E33" s="9">
        <f t="shared" si="1"/>
        <v>2.8899999999999998E-10</v>
      </c>
      <c r="H33" s="5">
        <v>25</v>
      </c>
      <c r="I33" s="42">
        <v>15</v>
      </c>
      <c r="J33" s="42">
        <v>21.9</v>
      </c>
      <c r="K33" s="43">
        <f t="shared" si="7"/>
        <v>9.9999999999999994E-12</v>
      </c>
      <c r="L33" s="9">
        <f t="shared" si="3"/>
        <v>2.1899999999999997E-10</v>
      </c>
    </row>
    <row r="34" spans="1:12">
      <c r="A34" s="5">
        <v>26</v>
      </c>
      <c r="B34" s="42">
        <v>16.5</v>
      </c>
      <c r="C34" s="43">
        <v>30.5</v>
      </c>
      <c r="D34" s="43">
        <f t="shared" si="6"/>
        <v>9.9999999999999994E-12</v>
      </c>
      <c r="E34" s="9">
        <f t="shared" si="1"/>
        <v>3.0499999999999998E-10</v>
      </c>
      <c r="H34" s="5">
        <v>26</v>
      </c>
      <c r="I34" s="42">
        <v>16.5</v>
      </c>
      <c r="J34" s="42">
        <v>23</v>
      </c>
      <c r="K34" s="43">
        <f t="shared" si="7"/>
        <v>9.9999999999999994E-12</v>
      </c>
      <c r="L34" s="9">
        <f t="shared" si="3"/>
        <v>2.2999999999999998E-10</v>
      </c>
    </row>
    <row r="35" spans="1:12">
      <c r="A35" s="5">
        <v>27</v>
      </c>
      <c r="B35" s="42">
        <v>18</v>
      </c>
      <c r="C35" s="43">
        <v>31.9</v>
      </c>
      <c r="D35" s="43">
        <f t="shared" si="6"/>
        <v>9.9999999999999994E-12</v>
      </c>
      <c r="E35" s="9">
        <f t="shared" si="1"/>
        <v>3.1899999999999998E-10</v>
      </c>
      <c r="H35" s="5">
        <v>27</v>
      </c>
      <c r="I35" s="42">
        <v>18</v>
      </c>
      <c r="J35" s="42">
        <v>24.1</v>
      </c>
      <c r="K35" s="43">
        <f t="shared" si="7"/>
        <v>9.9999999999999994E-12</v>
      </c>
      <c r="L35" s="9">
        <f t="shared" si="3"/>
        <v>2.4099999999999999E-10</v>
      </c>
    </row>
    <row r="36" spans="1:12">
      <c r="A36" s="5">
        <v>28</v>
      </c>
      <c r="B36" s="42">
        <v>19.5</v>
      </c>
      <c r="C36" s="43">
        <v>33.200000000000003</v>
      </c>
      <c r="D36" s="43">
        <f t="shared" si="6"/>
        <v>9.9999999999999994E-12</v>
      </c>
      <c r="E36" s="9">
        <f t="shared" si="1"/>
        <v>3.3199999999999999E-10</v>
      </c>
      <c r="H36" s="5">
        <v>28</v>
      </c>
      <c r="I36" s="42">
        <v>19.5</v>
      </c>
      <c r="J36" s="42">
        <v>25.3</v>
      </c>
      <c r="K36" s="43">
        <f t="shared" si="7"/>
        <v>9.9999999999999994E-12</v>
      </c>
      <c r="L36" s="9">
        <f t="shared" si="3"/>
        <v>2.5300000000000001E-10</v>
      </c>
    </row>
    <row r="37" spans="1:12">
      <c r="A37" s="5">
        <v>29</v>
      </c>
      <c r="B37" s="42">
        <v>21</v>
      </c>
      <c r="C37" s="43">
        <v>34.9</v>
      </c>
      <c r="D37" s="43">
        <f t="shared" si="6"/>
        <v>9.9999999999999994E-12</v>
      </c>
      <c r="E37" s="9">
        <f t="shared" si="1"/>
        <v>3.4899999999999998E-10</v>
      </c>
      <c r="H37" s="5">
        <v>29</v>
      </c>
      <c r="I37" s="42">
        <v>21</v>
      </c>
      <c r="J37" s="42">
        <v>26.4</v>
      </c>
      <c r="K37" s="43">
        <f t="shared" si="7"/>
        <v>9.9999999999999994E-12</v>
      </c>
      <c r="L37" s="9">
        <f t="shared" si="3"/>
        <v>2.6399999999999997E-10</v>
      </c>
    </row>
    <row r="38" spans="1:12">
      <c r="A38" s="5">
        <v>30</v>
      </c>
      <c r="B38" s="42">
        <v>22.5</v>
      </c>
      <c r="C38" s="43">
        <v>36.6</v>
      </c>
      <c r="D38" s="43">
        <f t="shared" si="6"/>
        <v>9.9999999999999994E-12</v>
      </c>
      <c r="E38" s="9">
        <f t="shared" si="1"/>
        <v>3.6599999999999998E-10</v>
      </c>
      <c r="H38" s="5">
        <v>30</v>
      </c>
      <c r="I38" s="42">
        <v>22.5</v>
      </c>
      <c r="J38" s="42">
        <v>27.4</v>
      </c>
      <c r="K38" s="43">
        <f t="shared" si="7"/>
        <v>9.9999999999999994E-12</v>
      </c>
      <c r="L38" s="9">
        <f t="shared" si="3"/>
        <v>2.7399999999999998E-10</v>
      </c>
    </row>
    <row r="39" spans="1:12">
      <c r="A39" s="5">
        <v>31</v>
      </c>
      <c r="B39" s="42">
        <v>24</v>
      </c>
      <c r="C39" s="43">
        <v>38.1</v>
      </c>
      <c r="D39" s="43">
        <f t="shared" si="6"/>
        <v>9.9999999999999994E-12</v>
      </c>
      <c r="E39" s="9">
        <f t="shared" si="1"/>
        <v>3.8099999999999998E-10</v>
      </c>
      <c r="H39" s="5">
        <v>31</v>
      </c>
      <c r="I39" s="42">
        <v>24</v>
      </c>
      <c r="J39" s="42">
        <v>28.4</v>
      </c>
      <c r="K39" s="43">
        <f t="shared" si="7"/>
        <v>9.9999999999999994E-12</v>
      </c>
      <c r="L39" s="9">
        <f t="shared" si="3"/>
        <v>2.8399999999999995E-10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F853-47EF-4DE8-8554-1C3D39813F44}">
  <dimension ref="A1:M23"/>
  <sheetViews>
    <sheetView zoomScaleNormal="100" workbookViewId="0">
      <selection activeCell="C7" sqref="C7:E9"/>
    </sheetView>
  </sheetViews>
  <sheetFormatPr defaultRowHeight="14.4"/>
  <cols>
    <col min="1" max="1" width="9.33203125" customWidth="1"/>
    <col min="3" max="3" width="9" customWidth="1"/>
    <col min="4" max="5" width="9" bestFit="1" customWidth="1"/>
    <col min="6" max="6" width="10.44140625" customWidth="1"/>
    <col min="10" max="11" width="8.88671875" customWidth="1"/>
    <col min="13" max="13" width="8.88671875" customWidth="1"/>
  </cols>
  <sheetData>
    <row r="1" spans="1:12">
      <c r="A1" s="27" t="s">
        <v>32</v>
      </c>
      <c r="B1" s="27"/>
      <c r="G1" t="s">
        <v>36</v>
      </c>
      <c r="H1">
        <f>10^-10</f>
        <v>1E-10</v>
      </c>
    </row>
    <row r="3" spans="1:12">
      <c r="B3" s="5" t="s">
        <v>33</v>
      </c>
      <c r="C3" s="5">
        <v>436</v>
      </c>
      <c r="I3" s="5" t="s">
        <v>33</v>
      </c>
      <c r="J3" s="5">
        <v>546</v>
      </c>
    </row>
    <row r="5" spans="1:12">
      <c r="A5" s="71" t="s">
        <v>34</v>
      </c>
      <c r="B5" s="71"/>
      <c r="C5" s="3">
        <v>2</v>
      </c>
      <c r="D5" s="3">
        <v>4</v>
      </c>
      <c r="E5" s="3">
        <v>8</v>
      </c>
      <c r="H5" s="71" t="s">
        <v>34</v>
      </c>
      <c r="I5" s="71"/>
      <c r="J5" s="3">
        <v>2</v>
      </c>
      <c r="K5" s="3">
        <v>4</v>
      </c>
      <c r="L5" s="3">
        <v>8</v>
      </c>
    </row>
    <row r="6" spans="1:12" ht="28.8" customHeight="1">
      <c r="A6" s="77" t="s">
        <v>73</v>
      </c>
      <c r="B6" s="78"/>
      <c r="C6" s="45">
        <f>C5^2</f>
        <v>4</v>
      </c>
      <c r="D6" s="45">
        <f t="shared" ref="D6:E6" si="0">D5^2</f>
        <v>16</v>
      </c>
      <c r="E6" s="45">
        <f t="shared" si="0"/>
        <v>64</v>
      </c>
      <c r="H6" s="77" t="s">
        <v>51</v>
      </c>
      <c r="I6" s="78"/>
      <c r="J6" s="45">
        <f>J5^2</f>
        <v>4</v>
      </c>
      <c r="K6" s="45">
        <f t="shared" ref="K6" si="1">K5^2</f>
        <v>16</v>
      </c>
      <c r="L6" s="45">
        <f t="shared" ref="L6" si="2">L5^2</f>
        <v>64</v>
      </c>
    </row>
    <row r="7" spans="1:12">
      <c r="A7" s="76" t="s">
        <v>35</v>
      </c>
      <c r="B7" s="3">
        <v>1</v>
      </c>
      <c r="C7" s="42">
        <v>4.3</v>
      </c>
      <c r="D7" s="42">
        <v>16.8</v>
      </c>
      <c r="E7" s="42">
        <v>70.3</v>
      </c>
      <c r="H7" s="76" t="s">
        <v>35</v>
      </c>
      <c r="I7" s="3">
        <v>1</v>
      </c>
      <c r="J7" s="42">
        <v>0.8</v>
      </c>
      <c r="K7" s="42">
        <v>3.2</v>
      </c>
      <c r="L7" s="42">
        <v>12.8</v>
      </c>
    </row>
    <row r="8" spans="1:12">
      <c r="A8" s="71"/>
      <c r="B8" s="3">
        <v>2</v>
      </c>
      <c r="C8" s="42">
        <v>4.2</v>
      </c>
      <c r="D8" s="42">
        <v>17.2</v>
      </c>
      <c r="E8" s="42">
        <v>70.900000000000006</v>
      </c>
      <c r="H8" s="71"/>
      <c r="I8" s="3">
        <v>2</v>
      </c>
      <c r="J8" s="42">
        <v>0.8</v>
      </c>
      <c r="K8" s="42">
        <v>3.2</v>
      </c>
      <c r="L8" s="42">
        <v>12.8</v>
      </c>
    </row>
    <row r="9" spans="1:12">
      <c r="A9" s="71"/>
      <c r="B9" s="3">
        <v>3</v>
      </c>
      <c r="C9" s="42">
        <v>4.2</v>
      </c>
      <c r="D9" s="42">
        <v>17</v>
      </c>
      <c r="E9" s="42">
        <v>70.5</v>
      </c>
      <c r="H9" s="71"/>
      <c r="I9" s="3">
        <v>3</v>
      </c>
      <c r="J9" s="42">
        <v>0.8</v>
      </c>
      <c r="K9" s="42">
        <v>3.2</v>
      </c>
      <c r="L9" s="42">
        <v>12.7</v>
      </c>
    </row>
    <row r="10" spans="1:12">
      <c r="A10" s="71"/>
      <c r="B10" s="3" t="s">
        <v>4</v>
      </c>
      <c r="C10" s="44">
        <f>AVERAGE(C7:C9)</f>
        <v>4.2333333333333334</v>
      </c>
      <c r="D10" s="44">
        <f t="shared" ref="D10:E10" si="3">AVERAGE(D7:D9)</f>
        <v>17</v>
      </c>
      <c r="E10" s="44">
        <f t="shared" si="3"/>
        <v>70.566666666666663</v>
      </c>
      <c r="H10" s="71"/>
      <c r="I10" s="3" t="s">
        <v>4</v>
      </c>
      <c r="J10" s="44">
        <f>AVERAGE(J7:J9)</f>
        <v>0.80000000000000016</v>
      </c>
      <c r="K10" s="44">
        <f t="shared" ref="K10" si="4">AVERAGE(K7:K9)</f>
        <v>3.2000000000000006</v>
      </c>
      <c r="L10" s="44">
        <f t="shared" ref="L10" si="5">AVERAGE(L7:L9)</f>
        <v>12.766666666666666</v>
      </c>
    </row>
    <row r="11" spans="1:12">
      <c r="A11" s="28"/>
      <c r="B11" s="8" t="s">
        <v>25</v>
      </c>
      <c r="C11">
        <f>C10*$H$1</f>
        <v>4.2333333333333337E-10</v>
      </c>
      <c r="D11">
        <f>D10*$H$1</f>
        <v>1.7000000000000001E-9</v>
      </c>
      <c r="E11">
        <f>E10*$H$1</f>
        <v>7.0566666666666665E-9</v>
      </c>
      <c r="H11" s="28"/>
      <c r="I11" s="8" t="s">
        <v>25</v>
      </c>
      <c r="J11">
        <f>J10*$H$1</f>
        <v>8.0000000000000021E-11</v>
      </c>
      <c r="K11">
        <f>K10*$H$1</f>
        <v>3.2000000000000008E-10</v>
      </c>
      <c r="L11">
        <f>L10*$H$1</f>
        <v>1.2766666666666666E-9</v>
      </c>
    </row>
    <row r="15" spans="1:12">
      <c r="A15" s="10"/>
      <c r="B15" s="23" t="s">
        <v>5</v>
      </c>
      <c r="C15" s="11">
        <f>SLOPE(C11:E11,C6:E6)</f>
        <v>1.1085317460317459E-10</v>
      </c>
      <c r="D15" s="9" t="s">
        <v>9</v>
      </c>
      <c r="H15" s="10"/>
      <c r="I15" s="23" t="s">
        <v>5</v>
      </c>
      <c r="J15" s="11">
        <f>SLOPE(J11:L11,J6:L6)</f>
        <v>1.9940476190476189E-11</v>
      </c>
      <c r="K15" s="9" t="s">
        <v>9</v>
      </c>
    </row>
    <row r="16" spans="1:12">
      <c r="A16" s="13"/>
      <c r="B16" s="22" t="s">
        <v>6</v>
      </c>
      <c r="C16" s="11">
        <f>INTERCEPT(C11:E11,C6:E6)</f>
        <v>-4.3888888888888151E-11</v>
      </c>
      <c r="D16" s="9" t="s">
        <v>11</v>
      </c>
      <c r="H16" s="13"/>
      <c r="I16" s="22" t="s">
        <v>6</v>
      </c>
      <c r="J16" s="11">
        <f>INTERCEPT(J11:L11,J6:L6)</f>
        <v>5.555555555555881E-13</v>
      </c>
      <c r="K16" s="9" t="s">
        <v>11</v>
      </c>
    </row>
    <row r="17" spans="1:13">
      <c r="A17" s="13"/>
      <c r="B17" s="22" t="s">
        <v>8</v>
      </c>
      <c r="C17" s="14">
        <f>PEARSON(C11:E11,C6:E6)</f>
        <v>0.99996996730063026</v>
      </c>
      <c r="H17" s="13"/>
      <c r="I17" s="22" t="s">
        <v>8</v>
      </c>
      <c r="J17" s="14">
        <f>PEARSON(J11:L11,J6:L6)</f>
        <v>0.99999983498762368</v>
      </c>
    </row>
    <row r="18" spans="1:13" ht="20.399999999999999">
      <c r="A18" s="13"/>
      <c r="B18" s="22" t="s">
        <v>14</v>
      </c>
      <c r="C18" s="32" t="s">
        <v>44</v>
      </c>
      <c r="D18" s="15">
        <f>C15</f>
        <v>1.1085317460317459E-10</v>
      </c>
      <c r="E18" s="19" t="s">
        <v>55</v>
      </c>
      <c r="F18" s="16">
        <f>C16</f>
        <v>-4.3888888888888151E-11</v>
      </c>
      <c r="H18" s="13"/>
      <c r="I18" s="22" t="s">
        <v>14</v>
      </c>
      <c r="J18" s="32" t="s">
        <v>44</v>
      </c>
      <c r="K18" s="15">
        <f>J15</f>
        <v>1.9940476190476189E-11</v>
      </c>
      <c r="L18" s="19" t="s">
        <v>55</v>
      </c>
      <c r="M18" s="16">
        <f>J16</f>
        <v>5.555555555555881E-13</v>
      </c>
    </row>
    <row r="20" spans="1:13" ht="17.399999999999999">
      <c r="C20" s="46" t="s">
        <v>54</v>
      </c>
      <c r="D20" s="47"/>
      <c r="E20" s="47"/>
      <c r="F20" s="48"/>
      <c r="J20" s="46" t="s">
        <v>54</v>
      </c>
      <c r="K20" s="47"/>
      <c r="L20" s="47"/>
      <c r="M20" s="48"/>
    </row>
    <row r="23" spans="1:13" ht="22.2">
      <c r="A23" s="66" t="s">
        <v>79</v>
      </c>
      <c r="B23" s="67"/>
      <c r="C23" s="67"/>
      <c r="D23" s="67"/>
      <c r="E23" s="67"/>
    </row>
  </sheetData>
  <mergeCells count="6">
    <mergeCell ref="A7:A10"/>
    <mergeCell ref="A5:B5"/>
    <mergeCell ref="H5:I5"/>
    <mergeCell ref="H7:H10"/>
    <mergeCell ref="A6:B6"/>
    <mergeCell ref="H6:I6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E6909-9015-49DA-AAD4-FBCC0D256D96}">
  <dimension ref="A1:N133"/>
  <sheetViews>
    <sheetView tabSelected="1" workbookViewId="0">
      <selection activeCell="U4" sqref="U4"/>
    </sheetView>
  </sheetViews>
  <sheetFormatPr defaultRowHeight="14.4"/>
  <cols>
    <col min="1" max="1" width="5.6640625" customWidth="1"/>
  </cols>
  <sheetData>
    <row r="1" spans="1:14" ht="22.2">
      <c r="A1" s="31" t="s">
        <v>74</v>
      </c>
      <c r="B1" s="31"/>
      <c r="C1" s="31"/>
      <c r="G1" s="66" t="s">
        <v>79</v>
      </c>
      <c r="H1" s="67"/>
      <c r="I1" s="67"/>
      <c r="J1" s="67"/>
      <c r="K1" s="67"/>
    </row>
    <row r="3" spans="1:14">
      <c r="A3" t="s">
        <v>26</v>
      </c>
      <c r="B3" t="s">
        <v>56</v>
      </c>
      <c r="C3" t="s">
        <v>57</v>
      </c>
      <c r="D3" t="s">
        <v>72</v>
      </c>
      <c r="E3" s="51" t="s">
        <v>59</v>
      </c>
      <c r="G3" t="s">
        <v>56</v>
      </c>
      <c r="H3" t="s">
        <v>57</v>
      </c>
      <c r="K3" s="5" t="s">
        <v>64</v>
      </c>
    </row>
    <row r="4" spans="1:14">
      <c r="A4">
        <v>1</v>
      </c>
      <c r="B4" s="68">
        <v>0</v>
      </c>
      <c r="C4">
        <v>0</v>
      </c>
      <c r="G4" s="80">
        <v>13</v>
      </c>
      <c r="H4" s="79">
        <v>26</v>
      </c>
      <c r="I4" s="54" t="s">
        <v>61</v>
      </c>
      <c r="K4" s="43">
        <f>G9-G4</f>
        <v>23</v>
      </c>
      <c r="M4" s="25" t="s">
        <v>65</v>
      </c>
      <c r="N4" s="43">
        <v>5</v>
      </c>
    </row>
    <row r="5" spans="1:14">
      <c r="A5">
        <v>2</v>
      </c>
      <c r="B5" s="68">
        <v>1</v>
      </c>
      <c r="C5">
        <v>4</v>
      </c>
      <c r="E5">
        <f t="shared" ref="E5:E36" si="0">C5-C4</f>
        <v>4</v>
      </c>
      <c r="G5" s="80">
        <v>17.5</v>
      </c>
      <c r="H5" s="81">
        <v>40</v>
      </c>
      <c r="I5" s="54" t="s">
        <v>61</v>
      </c>
      <c r="K5" s="43">
        <f>G10-G5</f>
        <v>23.5</v>
      </c>
    </row>
    <row r="6" spans="1:14">
      <c r="A6">
        <v>3</v>
      </c>
      <c r="B6" s="68">
        <v>2</v>
      </c>
      <c r="C6">
        <v>5</v>
      </c>
      <c r="E6">
        <f t="shared" si="0"/>
        <v>1</v>
      </c>
      <c r="G6" s="80">
        <v>22.5</v>
      </c>
      <c r="H6" s="79">
        <v>52</v>
      </c>
      <c r="I6" s="54" t="s">
        <v>61</v>
      </c>
      <c r="K6" s="43">
        <f>G11-G6</f>
        <v>23.5</v>
      </c>
    </row>
    <row r="7" spans="1:14">
      <c r="A7">
        <v>4</v>
      </c>
      <c r="B7" s="68">
        <v>3</v>
      </c>
      <c r="C7">
        <v>5</v>
      </c>
      <c r="E7">
        <f t="shared" si="0"/>
        <v>0</v>
      </c>
      <c r="G7" s="80">
        <v>27</v>
      </c>
      <c r="H7" s="79">
        <v>67</v>
      </c>
      <c r="I7" s="54" t="s">
        <v>61</v>
      </c>
      <c r="K7" s="43">
        <f>G12-G7</f>
        <v>23.5</v>
      </c>
    </row>
    <row r="8" spans="1:14">
      <c r="A8">
        <v>5</v>
      </c>
      <c r="B8" s="68">
        <v>4</v>
      </c>
      <c r="C8">
        <v>5</v>
      </c>
      <c r="E8">
        <f t="shared" si="0"/>
        <v>0</v>
      </c>
      <c r="G8" s="80">
        <v>31.5</v>
      </c>
      <c r="H8" s="79">
        <v>85</v>
      </c>
      <c r="I8" s="54" t="s">
        <v>61</v>
      </c>
      <c r="K8" s="43">
        <f>G13-G8</f>
        <v>24</v>
      </c>
    </row>
    <row r="9" spans="1:14">
      <c r="A9">
        <v>6</v>
      </c>
      <c r="B9" s="68">
        <v>4.5</v>
      </c>
      <c r="C9">
        <v>5</v>
      </c>
      <c r="E9">
        <f t="shared" si="0"/>
        <v>0</v>
      </c>
      <c r="G9" s="80">
        <v>36</v>
      </c>
      <c r="H9" s="79">
        <v>103</v>
      </c>
      <c r="I9" s="54" t="s">
        <v>61</v>
      </c>
    </row>
    <row r="10" spans="1:14">
      <c r="A10">
        <v>7</v>
      </c>
      <c r="B10" s="68">
        <v>5</v>
      </c>
      <c r="C10">
        <v>6</v>
      </c>
      <c r="E10">
        <f t="shared" si="0"/>
        <v>1</v>
      </c>
      <c r="G10" s="80">
        <v>41</v>
      </c>
      <c r="H10" s="79">
        <v>122</v>
      </c>
      <c r="I10" s="54" t="s">
        <v>61</v>
      </c>
    </row>
    <row r="11" spans="1:14">
      <c r="A11">
        <v>8</v>
      </c>
      <c r="B11" s="68">
        <v>5.5</v>
      </c>
      <c r="C11">
        <v>6</v>
      </c>
      <c r="E11">
        <f t="shared" si="0"/>
        <v>0</v>
      </c>
      <c r="G11" s="80">
        <v>46</v>
      </c>
      <c r="H11" s="79">
        <v>141</v>
      </c>
      <c r="I11" s="54" t="s">
        <v>61</v>
      </c>
    </row>
    <row r="12" spans="1:14">
      <c r="A12">
        <v>9</v>
      </c>
      <c r="B12" s="68">
        <v>6</v>
      </c>
      <c r="C12">
        <v>6</v>
      </c>
      <c r="E12">
        <f t="shared" si="0"/>
        <v>0</v>
      </c>
      <c r="G12" s="80">
        <v>50.5</v>
      </c>
      <c r="H12" s="81">
        <v>161</v>
      </c>
      <c r="I12" s="54" t="s">
        <v>61</v>
      </c>
    </row>
    <row r="13" spans="1:14">
      <c r="A13">
        <v>10</v>
      </c>
      <c r="B13" s="68">
        <v>6.5</v>
      </c>
      <c r="C13">
        <v>6</v>
      </c>
      <c r="E13">
        <f t="shared" si="0"/>
        <v>0</v>
      </c>
      <c r="G13" s="80">
        <v>55.5</v>
      </c>
      <c r="H13" s="79">
        <v>183</v>
      </c>
      <c r="I13" s="54" t="s">
        <v>61</v>
      </c>
    </row>
    <row r="14" spans="1:14">
      <c r="A14">
        <v>11</v>
      </c>
      <c r="B14" s="68">
        <v>7</v>
      </c>
      <c r="C14">
        <v>7</v>
      </c>
      <c r="E14">
        <f t="shared" si="0"/>
        <v>1</v>
      </c>
      <c r="G14" s="80"/>
      <c r="H14" s="79"/>
      <c r="I14" s="54"/>
      <c r="J14" s="55" t="s">
        <v>66</v>
      </c>
      <c r="K14" s="33">
        <f>AVERAGE(K4:K8)/N4</f>
        <v>4.7</v>
      </c>
      <c r="L14" s="33" t="s">
        <v>11</v>
      </c>
    </row>
    <row r="15" spans="1:14">
      <c r="A15">
        <v>12</v>
      </c>
      <c r="B15" s="68">
        <v>7.5</v>
      </c>
      <c r="C15">
        <v>9</v>
      </c>
      <c r="E15">
        <f t="shared" si="0"/>
        <v>2</v>
      </c>
      <c r="J15" s="55" t="s">
        <v>68</v>
      </c>
      <c r="K15" s="33">
        <v>4.8899999999999997</v>
      </c>
      <c r="L15" s="33" t="s">
        <v>67</v>
      </c>
    </row>
    <row r="16" spans="1:14">
      <c r="A16">
        <v>13</v>
      </c>
      <c r="B16" s="68">
        <v>8</v>
      </c>
      <c r="C16">
        <v>11</v>
      </c>
      <c r="E16">
        <f t="shared" si="0"/>
        <v>2</v>
      </c>
      <c r="J16" s="55" t="s">
        <v>69</v>
      </c>
      <c r="K16" s="34">
        <f>ABS((K14-K15)/K15)</f>
        <v>3.8854805725971268E-2</v>
      </c>
      <c r="L16" s="33"/>
    </row>
    <row r="17" spans="1:10">
      <c r="A17">
        <v>14</v>
      </c>
      <c r="B17" s="68">
        <v>8.5</v>
      </c>
      <c r="C17">
        <v>12</v>
      </c>
      <c r="E17">
        <f t="shared" si="0"/>
        <v>1</v>
      </c>
    </row>
    <row r="18" spans="1:10">
      <c r="A18" s="79">
        <v>15</v>
      </c>
      <c r="B18" s="80">
        <v>9</v>
      </c>
      <c r="C18" s="79">
        <v>13</v>
      </c>
      <c r="D18" s="79"/>
      <c r="E18" s="79">
        <f t="shared" si="0"/>
        <v>1</v>
      </c>
    </row>
    <row r="19" spans="1:10">
      <c r="A19">
        <v>16</v>
      </c>
      <c r="B19" s="68">
        <v>9.5</v>
      </c>
      <c r="C19">
        <v>12</v>
      </c>
      <c r="E19">
        <f t="shared" si="0"/>
        <v>-1</v>
      </c>
    </row>
    <row r="20" spans="1:10">
      <c r="A20">
        <v>17</v>
      </c>
      <c r="B20" s="68">
        <v>10</v>
      </c>
      <c r="C20">
        <v>11</v>
      </c>
      <c r="E20">
        <f t="shared" si="0"/>
        <v>-1</v>
      </c>
      <c r="G20" s="56" t="s">
        <v>62</v>
      </c>
      <c r="H20" s="57"/>
      <c r="I20" s="57"/>
      <c r="J20" s="58"/>
    </row>
    <row r="21" spans="1:10">
      <c r="A21">
        <v>18</v>
      </c>
      <c r="B21" s="68">
        <v>10.5</v>
      </c>
      <c r="C21">
        <v>11</v>
      </c>
      <c r="E21">
        <f t="shared" si="0"/>
        <v>0</v>
      </c>
      <c r="G21" s="59" t="s">
        <v>63</v>
      </c>
      <c r="H21" s="60"/>
      <c r="I21" s="60"/>
      <c r="J21" s="61"/>
    </row>
    <row r="22" spans="1:10">
      <c r="A22">
        <v>19</v>
      </c>
      <c r="B22" s="68">
        <v>11</v>
      </c>
      <c r="C22">
        <v>12</v>
      </c>
      <c r="E22">
        <f t="shared" si="0"/>
        <v>1</v>
      </c>
    </row>
    <row r="23" spans="1:10">
      <c r="A23">
        <v>20</v>
      </c>
      <c r="B23" s="68">
        <v>11.5</v>
      </c>
      <c r="C23">
        <v>14</v>
      </c>
      <c r="E23">
        <f t="shared" si="0"/>
        <v>2</v>
      </c>
    </row>
    <row r="24" spans="1:10">
      <c r="A24">
        <v>21</v>
      </c>
      <c r="B24" s="68">
        <v>12</v>
      </c>
      <c r="C24">
        <v>19</v>
      </c>
      <c r="E24">
        <f t="shared" si="0"/>
        <v>5</v>
      </c>
    </row>
    <row r="25" spans="1:10">
      <c r="A25">
        <v>22</v>
      </c>
      <c r="B25" s="68">
        <v>12.5</v>
      </c>
      <c r="C25">
        <v>23</v>
      </c>
      <c r="E25">
        <f t="shared" si="0"/>
        <v>4</v>
      </c>
    </row>
    <row r="26" spans="1:10">
      <c r="A26" s="79">
        <v>23</v>
      </c>
      <c r="B26" s="80">
        <v>13</v>
      </c>
      <c r="C26" s="79">
        <v>26</v>
      </c>
      <c r="D26" s="79"/>
      <c r="E26" s="79">
        <f t="shared" si="0"/>
        <v>3</v>
      </c>
    </row>
    <row r="27" spans="1:10">
      <c r="A27">
        <v>24</v>
      </c>
      <c r="B27" s="68">
        <v>13.5</v>
      </c>
      <c r="C27">
        <v>25</v>
      </c>
      <c r="E27">
        <f t="shared" si="0"/>
        <v>-1</v>
      </c>
    </row>
    <row r="28" spans="1:10">
      <c r="A28">
        <v>25</v>
      </c>
      <c r="B28" s="68">
        <v>14</v>
      </c>
      <c r="C28">
        <v>20</v>
      </c>
      <c r="E28">
        <f t="shared" si="0"/>
        <v>-5</v>
      </c>
    </row>
    <row r="29" spans="1:10">
      <c r="A29">
        <v>26</v>
      </c>
      <c r="B29" s="68">
        <v>14.5</v>
      </c>
      <c r="C29">
        <v>16</v>
      </c>
      <c r="E29">
        <f t="shared" si="0"/>
        <v>-4</v>
      </c>
    </row>
    <row r="30" spans="1:10">
      <c r="A30">
        <v>27</v>
      </c>
      <c r="B30" s="68">
        <v>15</v>
      </c>
      <c r="C30">
        <v>13</v>
      </c>
      <c r="E30">
        <f t="shared" si="0"/>
        <v>-3</v>
      </c>
    </row>
    <row r="31" spans="1:10">
      <c r="A31">
        <v>28</v>
      </c>
      <c r="B31" s="68">
        <v>15.5</v>
      </c>
      <c r="C31" s="50">
        <v>14</v>
      </c>
      <c r="D31" s="50" t="s">
        <v>61</v>
      </c>
      <c r="E31" s="1">
        <f t="shared" si="0"/>
        <v>1</v>
      </c>
    </row>
    <row r="32" spans="1:10">
      <c r="A32">
        <v>29</v>
      </c>
      <c r="B32" s="68">
        <v>16</v>
      </c>
      <c r="C32">
        <v>19</v>
      </c>
      <c r="E32">
        <f t="shared" si="0"/>
        <v>5</v>
      </c>
    </row>
    <row r="33" spans="1:5">
      <c r="A33">
        <v>30</v>
      </c>
      <c r="B33" s="68">
        <v>16.5</v>
      </c>
      <c r="C33">
        <v>26</v>
      </c>
      <c r="E33">
        <f t="shared" si="0"/>
        <v>7</v>
      </c>
    </row>
    <row r="34" spans="1:5">
      <c r="A34">
        <v>31</v>
      </c>
      <c r="B34" s="68">
        <v>17</v>
      </c>
      <c r="C34">
        <v>35</v>
      </c>
      <c r="E34">
        <f t="shared" si="0"/>
        <v>9</v>
      </c>
    </row>
    <row r="35" spans="1:5">
      <c r="A35" s="79">
        <v>32</v>
      </c>
      <c r="B35" s="80">
        <v>17.5</v>
      </c>
      <c r="C35" s="81">
        <v>40</v>
      </c>
      <c r="D35" s="81" t="s">
        <v>60</v>
      </c>
      <c r="E35" s="79">
        <f t="shared" si="0"/>
        <v>5</v>
      </c>
    </row>
    <row r="36" spans="1:5">
      <c r="A36">
        <v>33</v>
      </c>
      <c r="B36" s="68">
        <v>18</v>
      </c>
      <c r="C36">
        <v>38</v>
      </c>
      <c r="E36">
        <f t="shared" si="0"/>
        <v>-2</v>
      </c>
    </row>
    <row r="37" spans="1:5">
      <c r="A37">
        <v>34</v>
      </c>
      <c r="B37" s="68">
        <v>18.5</v>
      </c>
      <c r="C37">
        <v>31</v>
      </c>
      <c r="E37">
        <f t="shared" ref="E37:E68" si="1">C37-C36</f>
        <v>-7</v>
      </c>
    </row>
    <row r="38" spans="1:5">
      <c r="A38">
        <v>35</v>
      </c>
      <c r="B38" s="68">
        <v>19</v>
      </c>
      <c r="C38">
        <v>22</v>
      </c>
      <c r="E38">
        <f t="shared" si="1"/>
        <v>-9</v>
      </c>
    </row>
    <row r="39" spans="1:5">
      <c r="A39">
        <v>36</v>
      </c>
      <c r="B39" s="68">
        <v>19.5</v>
      </c>
      <c r="C39">
        <v>17</v>
      </c>
      <c r="E39">
        <f t="shared" si="1"/>
        <v>-5</v>
      </c>
    </row>
    <row r="40" spans="1:5">
      <c r="A40">
        <v>37</v>
      </c>
      <c r="B40" s="68">
        <v>20</v>
      </c>
      <c r="C40">
        <v>17</v>
      </c>
      <c r="E40">
        <f t="shared" si="1"/>
        <v>0</v>
      </c>
    </row>
    <row r="41" spans="1:5">
      <c r="A41">
        <v>38</v>
      </c>
      <c r="B41" s="68">
        <v>20.5</v>
      </c>
      <c r="C41">
        <v>22</v>
      </c>
      <c r="E41">
        <f t="shared" si="1"/>
        <v>5</v>
      </c>
    </row>
    <row r="42" spans="1:5">
      <c r="A42">
        <v>39</v>
      </c>
      <c r="B42" s="68">
        <v>21</v>
      </c>
      <c r="C42" s="50">
        <v>32</v>
      </c>
      <c r="D42" s="50" t="s">
        <v>61</v>
      </c>
      <c r="E42" s="1">
        <f t="shared" si="1"/>
        <v>10</v>
      </c>
    </row>
    <row r="43" spans="1:5">
      <c r="A43">
        <v>40</v>
      </c>
      <c r="B43" s="68">
        <v>21.5</v>
      </c>
      <c r="C43">
        <v>44</v>
      </c>
      <c r="E43">
        <f t="shared" si="1"/>
        <v>12</v>
      </c>
    </row>
    <row r="44" spans="1:5">
      <c r="A44">
        <v>41</v>
      </c>
      <c r="B44" s="68">
        <v>22</v>
      </c>
      <c r="C44">
        <v>52</v>
      </c>
      <c r="E44">
        <f t="shared" si="1"/>
        <v>8</v>
      </c>
    </row>
    <row r="45" spans="1:5">
      <c r="A45" s="79">
        <v>42</v>
      </c>
      <c r="B45" s="80">
        <v>22.5</v>
      </c>
      <c r="C45" s="79">
        <v>52</v>
      </c>
      <c r="D45" s="79"/>
      <c r="E45" s="79">
        <f t="shared" si="1"/>
        <v>0</v>
      </c>
    </row>
    <row r="46" spans="1:5">
      <c r="A46">
        <v>43</v>
      </c>
      <c r="B46" s="68">
        <v>23</v>
      </c>
      <c r="C46" s="53">
        <v>45</v>
      </c>
      <c r="D46" s="53" t="s">
        <v>60</v>
      </c>
      <c r="E46" s="52">
        <f t="shared" si="1"/>
        <v>-7</v>
      </c>
    </row>
    <row r="47" spans="1:5">
      <c r="A47">
        <v>44</v>
      </c>
      <c r="B47" s="68">
        <v>23.5</v>
      </c>
      <c r="C47">
        <v>34</v>
      </c>
      <c r="E47">
        <f t="shared" si="1"/>
        <v>-11</v>
      </c>
    </row>
    <row r="48" spans="1:5">
      <c r="A48">
        <v>45</v>
      </c>
      <c r="B48" s="68">
        <v>24</v>
      </c>
      <c r="C48">
        <v>25</v>
      </c>
      <c r="E48">
        <f t="shared" si="1"/>
        <v>-9</v>
      </c>
    </row>
    <row r="49" spans="1:5">
      <c r="A49">
        <v>46</v>
      </c>
      <c r="B49" s="68">
        <v>24.5</v>
      </c>
      <c r="C49">
        <v>24</v>
      </c>
      <c r="E49">
        <f t="shared" si="1"/>
        <v>-1</v>
      </c>
    </row>
    <row r="50" spans="1:5">
      <c r="A50">
        <v>47</v>
      </c>
      <c r="B50" s="68">
        <v>25</v>
      </c>
      <c r="C50">
        <v>29</v>
      </c>
      <c r="E50">
        <f t="shared" si="1"/>
        <v>5</v>
      </c>
    </row>
    <row r="51" spans="1:5">
      <c r="A51">
        <v>48</v>
      </c>
      <c r="B51" s="68">
        <v>25.5</v>
      </c>
      <c r="C51">
        <v>40</v>
      </c>
      <c r="E51">
        <f t="shared" si="1"/>
        <v>11</v>
      </c>
    </row>
    <row r="52" spans="1:5">
      <c r="A52">
        <v>49</v>
      </c>
      <c r="B52" s="68">
        <v>26</v>
      </c>
      <c r="C52" s="50">
        <v>53</v>
      </c>
      <c r="D52" s="50" t="s">
        <v>61</v>
      </c>
      <c r="E52" s="1">
        <f t="shared" si="1"/>
        <v>13</v>
      </c>
    </row>
    <row r="53" spans="1:5">
      <c r="A53">
        <v>50</v>
      </c>
      <c r="B53" s="68">
        <v>26.5</v>
      </c>
      <c r="C53">
        <v>64</v>
      </c>
      <c r="E53">
        <f t="shared" si="1"/>
        <v>11</v>
      </c>
    </row>
    <row r="54" spans="1:5">
      <c r="A54" s="79">
        <v>51</v>
      </c>
      <c r="B54" s="80">
        <v>27</v>
      </c>
      <c r="C54" s="79">
        <v>67</v>
      </c>
      <c r="D54" s="79"/>
      <c r="E54" s="79">
        <f t="shared" si="1"/>
        <v>3</v>
      </c>
    </row>
    <row r="55" spans="1:5">
      <c r="A55">
        <v>52</v>
      </c>
      <c r="B55" s="68">
        <v>27.5</v>
      </c>
      <c r="C55">
        <v>62</v>
      </c>
      <c r="E55">
        <f t="shared" si="1"/>
        <v>-5</v>
      </c>
    </row>
    <row r="56" spans="1:5">
      <c r="A56">
        <v>53</v>
      </c>
      <c r="B56" s="68">
        <v>28</v>
      </c>
      <c r="C56" s="53">
        <v>50</v>
      </c>
      <c r="D56" s="53" t="s">
        <v>60</v>
      </c>
      <c r="E56" s="52">
        <f t="shared" si="1"/>
        <v>-12</v>
      </c>
    </row>
    <row r="57" spans="1:5">
      <c r="A57">
        <v>54</v>
      </c>
      <c r="B57" s="68">
        <v>28.5</v>
      </c>
      <c r="C57">
        <v>42</v>
      </c>
      <c r="E57">
        <f t="shared" si="1"/>
        <v>-8</v>
      </c>
    </row>
    <row r="58" spans="1:5">
      <c r="A58">
        <v>55</v>
      </c>
      <c r="B58" s="68">
        <v>29</v>
      </c>
      <c r="C58">
        <v>39</v>
      </c>
      <c r="E58">
        <f t="shared" si="1"/>
        <v>-3</v>
      </c>
    </row>
    <row r="59" spans="1:5">
      <c r="A59">
        <v>56</v>
      </c>
      <c r="B59" s="68">
        <v>29.5</v>
      </c>
      <c r="C59">
        <v>44</v>
      </c>
      <c r="E59">
        <f t="shared" si="1"/>
        <v>5</v>
      </c>
    </row>
    <row r="60" spans="1:5">
      <c r="A60">
        <v>57</v>
      </c>
      <c r="B60" s="68">
        <v>30</v>
      </c>
      <c r="C60">
        <v>54</v>
      </c>
      <c r="E60">
        <f t="shared" si="1"/>
        <v>10</v>
      </c>
    </row>
    <row r="61" spans="1:5">
      <c r="A61">
        <v>58</v>
      </c>
      <c r="B61" s="68">
        <v>30.5</v>
      </c>
      <c r="C61">
        <v>67</v>
      </c>
      <c r="E61">
        <f t="shared" si="1"/>
        <v>13</v>
      </c>
    </row>
    <row r="62" spans="1:5">
      <c r="A62">
        <v>59</v>
      </c>
      <c r="B62" s="68">
        <v>31</v>
      </c>
      <c r="C62" s="50">
        <v>79</v>
      </c>
      <c r="D62" s="50" t="s">
        <v>61</v>
      </c>
      <c r="E62" s="1">
        <f t="shared" si="1"/>
        <v>12</v>
      </c>
    </row>
    <row r="63" spans="1:5">
      <c r="A63" s="79">
        <v>60</v>
      </c>
      <c r="B63" s="80">
        <v>31.5</v>
      </c>
      <c r="C63" s="79">
        <v>85</v>
      </c>
      <c r="D63" s="79"/>
      <c r="E63" s="79">
        <f t="shared" si="1"/>
        <v>6</v>
      </c>
    </row>
    <row r="64" spans="1:5">
      <c r="A64">
        <v>61</v>
      </c>
      <c r="B64" s="68">
        <v>32</v>
      </c>
      <c r="C64">
        <v>81</v>
      </c>
      <c r="E64">
        <f t="shared" si="1"/>
        <v>-4</v>
      </c>
    </row>
    <row r="65" spans="1:5">
      <c r="A65">
        <v>62</v>
      </c>
      <c r="B65" s="68">
        <v>32.5</v>
      </c>
      <c r="C65">
        <v>72</v>
      </c>
      <c r="E65">
        <f t="shared" si="1"/>
        <v>-9</v>
      </c>
    </row>
    <row r="66" spans="1:5">
      <c r="A66">
        <v>63</v>
      </c>
      <c r="B66" s="68">
        <v>33</v>
      </c>
      <c r="C66">
        <v>63</v>
      </c>
      <c r="E66">
        <f t="shared" si="1"/>
        <v>-9</v>
      </c>
    </row>
    <row r="67" spans="1:5">
      <c r="A67">
        <v>64</v>
      </c>
      <c r="B67" s="68">
        <v>33.5</v>
      </c>
      <c r="C67" s="53">
        <v>61</v>
      </c>
      <c r="D67" s="53" t="s">
        <v>60</v>
      </c>
      <c r="E67" s="52">
        <f t="shared" si="1"/>
        <v>-2</v>
      </c>
    </row>
    <row r="68" spans="1:5">
      <c r="A68">
        <v>65</v>
      </c>
      <c r="B68" s="68">
        <v>34</v>
      </c>
      <c r="C68">
        <v>63</v>
      </c>
      <c r="E68">
        <f t="shared" si="1"/>
        <v>2</v>
      </c>
    </row>
    <row r="69" spans="1:5">
      <c r="A69">
        <v>66</v>
      </c>
      <c r="B69" s="68">
        <v>34.5</v>
      </c>
      <c r="C69">
        <v>72</v>
      </c>
      <c r="E69">
        <f t="shared" ref="E69:E100" si="2">C69-C68</f>
        <v>9</v>
      </c>
    </row>
    <row r="70" spans="1:5">
      <c r="A70">
        <v>67</v>
      </c>
      <c r="B70" s="68">
        <v>35</v>
      </c>
      <c r="C70">
        <v>83</v>
      </c>
      <c r="E70">
        <f t="shared" si="2"/>
        <v>11</v>
      </c>
    </row>
    <row r="71" spans="1:5">
      <c r="A71">
        <v>68</v>
      </c>
      <c r="B71" s="68">
        <v>35.5</v>
      </c>
      <c r="C71">
        <v>95</v>
      </c>
      <c r="E71">
        <f t="shared" si="2"/>
        <v>12</v>
      </c>
    </row>
    <row r="72" spans="1:5">
      <c r="A72" s="79">
        <v>69</v>
      </c>
      <c r="B72" s="80">
        <v>36</v>
      </c>
      <c r="C72" s="79">
        <v>103</v>
      </c>
      <c r="D72" s="79"/>
      <c r="E72" s="79">
        <f t="shared" si="2"/>
        <v>8</v>
      </c>
    </row>
    <row r="73" spans="1:5">
      <c r="A73">
        <v>70</v>
      </c>
      <c r="B73" s="68">
        <v>36.5</v>
      </c>
      <c r="C73">
        <v>102</v>
      </c>
      <c r="E73">
        <f t="shared" si="2"/>
        <v>-1</v>
      </c>
    </row>
    <row r="74" spans="1:5">
      <c r="A74">
        <v>71</v>
      </c>
      <c r="B74" s="68">
        <v>37</v>
      </c>
      <c r="C74" s="50">
        <v>95</v>
      </c>
      <c r="D74" s="50" t="s">
        <v>61</v>
      </c>
      <c r="E74" s="1">
        <f t="shared" si="2"/>
        <v>-7</v>
      </c>
    </row>
    <row r="75" spans="1:5">
      <c r="A75">
        <v>72</v>
      </c>
      <c r="B75" s="68">
        <v>37.5</v>
      </c>
      <c r="C75">
        <v>85</v>
      </c>
      <c r="E75">
        <f t="shared" si="2"/>
        <v>-10</v>
      </c>
    </row>
    <row r="76" spans="1:5">
      <c r="A76">
        <v>73</v>
      </c>
      <c r="B76" s="68">
        <v>38</v>
      </c>
      <c r="C76">
        <v>80</v>
      </c>
      <c r="E76">
        <f t="shared" si="2"/>
        <v>-5</v>
      </c>
    </row>
    <row r="77" spans="1:5">
      <c r="A77">
        <v>74</v>
      </c>
      <c r="B77" s="68">
        <v>38.5</v>
      </c>
      <c r="C77">
        <v>81</v>
      </c>
      <c r="E77">
        <f t="shared" si="2"/>
        <v>1</v>
      </c>
    </row>
    <row r="78" spans="1:5">
      <c r="A78">
        <v>75</v>
      </c>
      <c r="B78" s="68">
        <v>39</v>
      </c>
      <c r="C78">
        <v>87</v>
      </c>
      <c r="E78">
        <f t="shared" si="2"/>
        <v>6</v>
      </c>
    </row>
    <row r="79" spans="1:5">
      <c r="A79">
        <v>76</v>
      </c>
      <c r="B79" s="68">
        <v>39.5</v>
      </c>
      <c r="C79" s="53">
        <v>97</v>
      </c>
      <c r="D79" s="53" t="s">
        <v>60</v>
      </c>
      <c r="E79" s="52">
        <f t="shared" si="2"/>
        <v>10</v>
      </c>
    </row>
    <row r="80" spans="1:5">
      <c r="A80">
        <v>77</v>
      </c>
      <c r="B80" s="68">
        <v>40</v>
      </c>
      <c r="C80">
        <v>109</v>
      </c>
      <c r="E80">
        <f t="shared" si="2"/>
        <v>12</v>
      </c>
    </row>
    <row r="81" spans="1:5">
      <c r="A81">
        <v>78</v>
      </c>
      <c r="B81" s="68">
        <v>40.5</v>
      </c>
      <c r="C81">
        <v>119</v>
      </c>
      <c r="E81">
        <f t="shared" si="2"/>
        <v>10</v>
      </c>
    </row>
    <row r="82" spans="1:5">
      <c r="A82" s="79">
        <v>79</v>
      </c>
      <c r="B82" s="80">
        <v>41</v>
      </c>
      <c r="C82" s="79">
        <v>122</v>
      </c>
      <c r="D82" s="79"/>
      <c r="E82" s="79">
        <f t="shared" si="2"/>
        <v>3</v>
      </c>
    </row>
    <row r="83" spans="1:5">
      <c r="A83">
        <v>80</v>
      </c>
      <c r="B83" s="68">
        <v>41.5</v>
      </c>
      <c r="C83">
        <v>118</v>
      </c>
      <c r="E83">
        <f t="shared" si="2"/>
        <v>-4</v>
      </c>
    </row>
    <row r="84" spans="1:5">
      <c r="A84">
        <v>81</v>
      </c>
      <c r="B84" s="68">
        <v>42</v>
      </c>
      <c r="C84" s="50">
        <v>107</v>
      </c>
      <c r="D84" s="50" t="s">
        <v>61</v>
      </c>
      <c r="E84" s="1">
        <f t="shared" si="2"/>
        <v>-11</v>
      </c>
    </row>
    <row r="85" spans="1:5">
      <c r="A85">
        <v>82</v>
      </c>
      <c r="B85" s="68">
        <v>42.5</v>
      </c>
      <c r="C85">
        <v>99</v>
      </c>
      <c r="E85">
        <f t="shared" si="2"/>
        <v>-8</v>
      </c>
    </row>
    <row r="86" spans="1:5">
      <c r="A86">
        <v>83</v>
      </c>
      <c r="B86" s="68">
        <v>43</v>
      </c>
      <c r="C86">
        <v>92</v>
      </c>
      <c r="E86">
        <f t="shared" si="2"/>
        <v>-7</v>
      </c>
    </row>
    <row r="87" spans="1:5">
      <c r="A87">
        <v>84</v>
      </c>
      <c r="B87" s="68">
        <v>43.5</v>
      </c>
      <c r="C87">
        <v>100</v>
      </c>
      <c r="E87">
        <f t="shared" si="2"/>
        <v>8</v>
      </c>
    </row>
    <row r="88" spans="1:5">
      <c r="A88">
        <v>85</v>
      </c>
      <c r="B88" s="68">
        <v>44</v>
      </c>
      <c r="C88">
        <v>109</v>
      </c>
      <c r="E88">
        <f t="shared" si="2"/>
        <v>9</v>
      </c>
    </row>
    <row r="89" spans="1:5">
      <c r="A89">
        <v>86</v>
      </c>
      <c r="B89" s="68">
        <v>44.5</v>
      </c>
      <c r="C89" s="53">
        <v>121</v>
      </c>
      <c r="D89" s="53" t="s">
        <v>60</v>
      </c>
      <c r="E89" s="52">
        <f t="shared" si="2"/>
        <v>12</v>
      </c>
    </row>
    <row r="90" spans="1:5">
      <c r="A90">
        <v>87</v>
      </c>
      <c r="B90" s="68">
        <v>45</v>
      </c>
      <c r="C90">
        <v>133</v>
      </c>
      <c r="E90">
        <f t="shared" si="2"/>
        <v>12</v>
      </c>
    </row>
    <row r="91" spans="1:5">
      <c r="A91">
        <v>88</v>
      </c>
      <c r="B91" s="68">
        <v>45.5</v>
      </c>
      <c r="C91">
        <v>140</v>
      </c>
      <c r="E91">
        <f t="shared" si="2"/>
        <v>7</v>
      </c>
    </row>
    <row r="92" spans="1:5">
      <c r="A92" s="79">
        <v>89</v>
      </c>
      <c r="B92" s="80">
        <v>46</v>
      </c>
      <c r="C92" s="79">
        <v>141</v>
      </c>
      <c r="D92" s="79"/>
      <c r="E92" s="79">
        <f t="shared" si="2"/>
        <v>1</v>
      </c>
    </row>
    <row r="93" spans="1:5">
      <c r="A93">
        <v>90</v>
      </c>
      <c r="B93" s="68">
        <v>46.5</v>
      </c>
      <c r="C93">
        <v>133</v>
      </c>
      <c r="E93">
        <f t="shared" si="2"/>
        <v>-8</v>
      </c>
    </row>
    <row r="94" spans="1:5">
      <c r="A94">
        <v>91</v>
      </c>
      <c r="B94" s="68">
        <v>47</v>
      </c>
      <c r="C94">
        <v>122</v>
      </c>
      <c r="E94">
        <f t="shared" si="2"/>
        <v>-11</v>
      </c>
    </row>
    <row r="95" spans="1:5">
      <c r="A95">
        <v>92</v>
      </c>
      <c r="B95" s="68">
        <v>47.5</v>
      </c>
      <c r="C95">
        <v>116</v>
      </c>
      <c r="E95">
        <f t="shared" si="2"/>
        <v>-6</v>
      </c>
    </row>
    <row r="96" spans="1:5">
      <c r="A96">
        <v>93</v>
      </c>
      <c r="B96" s="68">
        <v>48</v>
      </c>
      <c r="C96" s="50">
        <v>116</v>
      </c>
      <c r="D96" s="50" t="s">
        <v>61</v>
      </c>
      <c r="E96" s="1">
        <f t="shared" si="2"/>
        <v>0</v>
      </c>
    </row>
    <row r="97" spans="1:5">
      <c r="A97">
        <v>94</v>
      </c>
      <c r="B97" s="68">
        <v>48.5</v>
      </c>
      <c r="C97">
        <v>122</v>
      </c>
      <c r="E97">
        <f t="shared" si="2"/>
        <v>6</v>
      </c>
    </row>
    <row r="98" spans="1:5">
      <c r="A98">
        <v>95</v>
      </c>
      <c r="B98" s="68">
        <v>49</v>
      </c>
      <c r="C98">
        <v>132</v>
      </c>
      <c r="E98">
        <f t="shared" si="2"/>
        <v>10</v>
      </c>
    </row>
    <row r="99" spans="1:5">
      <c r="A99">
        <v>96</v>
      </c>
      <c r="B99" s="68">
        <v>49.5</v>
      </c>
      <c r="C99">
        <v>145</v>
      </c>
      <c r="E99">
        <f t="shared" si="2"/>
        <v>13</v>
      </c>
    </row>
    <row r="100" spans="1:5">
      <c r="A100">
        <v>97</v>
      </c>
      <c r="B100" s="68">
        <v>50</v>
      </c>
      <c r="C100">
        <v>156</v>
      </c>
      <c r="E100">
        <f t="shared" si="2"/>
        <v>11</v>
      </c>
    </row>
    <row r="101" spans="1:5">
      <c r="A101" s="79">
        <v>98</v>
      </c>
      <c r="B101" s="80">
        <v>50.5</v>
      </c>
      <c r="C101" s="81">
        <v>161</v>
      </c>
      <c r="D101" s="81" t="s">
        <v>60</v>
      </c>
      <c r="E101" s="79">
        <f t="shared" ref="E101:E120" si="3">C101-C100</f>
        <v>5</v>
      </c>
    </row>
    <row r="102" spans="1:5">
      <c r="A102">
        <v>99</v>
      </c>
      <c r="B102" s="68">
        <v>51</v>
      </c>
      <c r="C102">
        <v>158</v>
      </c>
      <c r="E102">
        <f t="shared" si="3"/>
        <v>-3</v>
      </c>
    </row>
    <row r="103" spans="1:5">
      <c r="A103">
        <v>100</v>
      </c>
      <c r="B103" s="68">
        <v>51.5</v>
      </c>
      <c r="C103">
        <v>148</v>
      </c>
      <c r="E103">
        <f t="shared" si="3"/>
        <v>-10</v>
      </c>
    </row>
    <row r="104" spans="1:5">
      <c r="A104">
        <v>101</v>
      </c>
      <c r="B104" s="68">
        <v>52</v>
      </c>
      <c r="C104">
        <v>139</v>
      </c>
      <c r="E104">
        <f t="shared" si="3"/>
        <v>-9</v>
      </c>
    </row>
    <row r="105" spans="1:5">
      <c r="A105">
        <v>102</v>
      </c>
      <c r="B105" s="68">
        <v>52.5</v>
      </c>
      <c r="C105">
        <v>135</v>
      </c>
      <c r="E105">
        <f t="shared" si="3"/>
        <v>-4</v>
      </c>
    </row>
    <row r="106" spans="1:5">
      <c r="A106">
        <v>103</v>
      </c>
      <c r="B106" s="68">
        <v>53</v>
      </c>
      <c r="C106">
        <v>137</v>
      </c>
      <c r="E106">
        <f t="shared" si="3"/>
        <v>2</v>
      </c>
    </row>
    <row r="107" spans="1:5">
      <c r="A107">
        <v>104</v>
      </c>
      <c r="B107" s="68">
        <v>53.5</v>
      </c>
      <c r="C107">
        <v>145</v>
      </c>
      <c r="E107">
        <f t="shared" si="3"/>
        <v>8</v>
      </c>
    </row>
    <row r="108" spans="1:5">
      <c r="A108">
        <v>105</v>
      </c>
      <c r="B108" s="68">
        <v>54</v>
      </c>
      <c r="C108" s="50">
        <v>157</v>
      </c>
      <c r="D108" s="50" t="s">
        <v>61</v>
      </c>
      <c r="E108" s="1">
        <f t="shared" si="3"/>
        <v>12</v>
      </c>
    </row>
    <row r="109" spans="1:5">
      <c r="A109">
        <v>106</v>
      </c>
      <c r="B109" s="68">
        <v>54.5</v>
      </c>
      <c r="C109">
        <v>170</v>
      </c>
      <c r="E109">
        <f t="shared" si="3"/>
        <v>13</v>
      </c>
    </row>
    <row r="110" spans="1:5">
      <c r="A110">
        <v>107</v>
      </c>
      <c r="B110" s="68">
        <v>55</v>
      </c>
      <c r="C110">
        <v>182</v>
      </c>
      <c r="E110">
        <f t="shared" si="3"/>
        <v>12</v>
      </c>
    </row>
    <row r="111" spans="1:5">
      <c r="A111" s="79">
        <v>108</v>
      </c>
      <c r="B111" s="80">
        <v>55.5</v>
      </c>
      <c r="C111" s="79">
        <v>183</v>
      </c>
      <c r="D111" s="79"/>
      <c r="E111" s="79">
        <f t="shared" si="3"/>
        <v>1</v>
      </c>
    </row>
    <row r="112" spans="1:5">
      <c r="A112">
        <v>109</v>
      </c>
      <c r="B112" s="68">
        <v>56</v>
      </c>
      <c r="C112">
        <v>177</v>
      </c>
      <c r="E112">
        <f t="shared" si="3"/>
        <v>-6</v>
      </c>
    </row>
    <row r="113" spans="1:5">
      <c r="A113">
        <v>110</v>
      </c>
      <c r="B113" s="68">
        <v>56.5</v>
      </c>
      <c r="C113" s="53">
        <v>166</v>
      </c>
      <c r="D113" s="53" t="s">
        <v>60</v>
      </c>
      <c r="E113" s="52">
        <f t="shared" si="3"/>
        <v>-11</v>
      </c>
    </row>
    <row r="114" spans="1:5">
      <c r="A114">
        <v>111</v>
      </c>
      <c r="B114" s="68">
        <v>57</v>
      </c>
      <c r="C114">
        <v>158</v>
      </c>
      <c r="E114">
        <f t="shared" si="3"/>
        <v>-8</v>
      </c>
    </row>
    <row r="115" spans="1:5">
      <c r="A115">
        <v>112</v>
      </c>
      <c r="B115" s="68">
        <v>57.5</v>
      </c>
      <c r="C115">
        <v>156</v>
      </c>
      <c r="E115">
        <f t="shared" si="3"/>
        <v>-2</v>
      </c>
    </row>
    <row r="116" spans="1:5">
      <c r="A116">
        <v>113</v>
      </c>
      <c r="B116" s="68">
        <v>58</v>
      </c>
      <c r="C116">
        <v>160</v>
      </c>
      <c r="E116">
        <f t="shared" si="3"/>
        <v>4</v>
      </c>
    </row>
    <row r="117" spans="1:5">
      <c r="A117">
        <v>114</v>
      </c>
      <c r="B117" s="68">
        <v>58.5</v>
      </c>
      <c r="C117">
        <v>170</v>
      </c>
      <c r="E117">
        <f t="shared" si="3"/>
        <v>10</v>
      </c>
    </row>
    <row r="118" spans="1:5">
      <c r="A118">
        <v>115</v>
      </c>
      <c r="B118" s="68">
        <v>59</v>
      </c>
      <c r="C118">
        <v>182</v>
      </c>
      <c r="E118">
        <f t="shared" si="3"/>
        <v>12</v>
      </c>
    </row>
    <row r="119" spans="1:5">
      <c r="A119">
        <v>116</v>
      </c>
      <c r="B119" s="68">
        <v>59.5</v>
      </c>
      <c r="C119">
        <v>195</v>
      </c>
      <c r="E119">
        <f t="shared" si="3"/>
        <v>13</v>
      </c>
    </row>
    <row r="120" spans="1:5">
      <c r="A120">
        <v>117</v>
      </c>
      <c r="B120" s="68">
        <v>60</v>
      </c>
      <c r="C120" s="50">
        <v>202</v>
      </c>
      <c r="D120" s="50" t="s">
        <v>61</v>
      </c>
      <c r="E120" s="1">
        <f t="shared" si="3"/>
        <v>7</v>
      </c>
    </row>
    <row r="121" spans="1:5">
      <c r="A121">
        <v>118</v>
      </c>
      <c r="B121" s="68"/>
    </row>
    <row r="122" spans="1:5">
      <c r="A122">
        <v>119</v>
      </c>
      <c r="B122" s="68"/>
    </row>
    <row r="123" spans="1:5">
      <c r="A123">
        <v>120</v>
      </c>
      <c r="B123" s="68"/>
    </row>
    <row r="124" spans="1:5">
      <c r="A124">
        <v>121</v>
      </c>
      <c r="B124" s="70"/>
      <c r="C124" s="53"/>
      <c r="D124" s="53" t="s">
        <v>60</v>
      </c>
      <c r="E124" s="52"/>
    </row>
    <row r="125" spans="1:5">
      <c r="A125">
        <v>122</v>
      </c>
      <c r="B125" s="68"/>
    </row>
    <row r="126" spans="1:5">
      <c r="A126">
        <v>123</v>
      </c>
      <c r="B126" s="68"/>
    </row>
    <row r="127" spans="1:5">
      <c r="A127">
        <v>124</v>
      </c>
      <c r="B127" s="68"/>
    </row>
    <row r="128" spans="1:5">
      <c r="A128">
        <v>125</v>
      </c>
      <c r="B128" s="68"/>
    </row>
    <row r="129" spans="1:5">
      <c r="A129">
        <v>126</v>
      </c>
      <c r="B129" s="68"/>
    </row>
    <row r="130" spans="1:5">
      <c r="A130">
        <v>127</v>
      </c>
      <c r="B130" s="68"/>
    </row>
    <row r="131" spans="1:5">
      <c r="A131">
        <v>128</v>
      </c>
      <c r="B131" s="69"/>
      <c r="C131" s="50"/>
      <c r="D131" s="50" t="s">
        <v>61</v>
      </c>
      <c r="E131" s="1"/>
    </row>
    <row r="132" spans="1:5">
      <c r="A132">
        <v>129</v>
      </c>
      <c r="B132" s="68"/>
    </row>
    <row r="133" spans="1:5">
      <c r="A133">
        <v>130</v>
      </c>
      <c r="B133" s="68"/>
    </row>
  </sheetData>
  <autoFilter ref="A3:E133" xr:uid="{35EE6909-9015-49DA-AAD4-FBCC0D256D96}">
    <sortState xmlns:xlrd2="http://schemas.microsoft.com/office/spreadsheetml/2017/richdata2" ref="A4:E133">
      <sortCondition ref="B3"/>
    </sortState>
  </autoFilter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E0E8-6966-443A-8704-FBA0CC7778A4}">
  <dimension ref="A1:I60"/>
  <sheetViews>
    <sheetView workbookViewId="0">
      <selection activeCell="B7" sqref="B7"/>
    </sheetView>
  </sheetViews>
  <sheetFormatPr defaultRowHeight="14.4"/>
  <cols>
    <col min="1" max="1" width="5.6640625" customWidth="1"/>
  </cols>
  <sheetData>
    <row r="1" spans="1:9" ht="22.2">
      <c r="A1" s="63" t="s">
        <v>75</v>
      </c>
      <c r="B1" s="63"/>
      <c r="C1" s="63"/>
      <c r="E1" s="66" t="s">
        <v>79</v>
      </c>
      <c r="F1" s="67"/>
      <c r="G1" s="67"/>
      <c r="H1" s="67"/>
      <c r="I1" s="67"/>
    </row>
    <row r="3" spans="1:9">
      <c r="A3" t="s">
        <v>26</v>
      </c>
      <c r="B3" t="s">
        <v>56</v>
      </c>
      <c r="C3" t="s">
        <v>57</v>
      </c>
    </row>
    <row r="4" spans="1:9">
      <c r="A4">
        <v>1</v>
      </c>
      <c r="B4" s="68">
        <v>0</v>
      </c>
      <c r="C4">
        <v>0</v>
      </c>
    </row>
    <row r="5" spans="1:9">
      <c r="A5">
        <v>2</v>
      </c>
      <c r="B5" s="68">
        <v>1</v>
      </c>
      <c r="C5">
        <v>0</v>
      </c>
    </row>
    <row r="6" spans="1:9">
      <c r="A6">
        <v>3</v>
      </c>
      <c r="B6" s="68">
        <v>2</v>
      </c>
      <c r="C6">
        <v>0</v>
      </c>
    </row>
    <row r="7" spans="1:9">
      <c r="A7">
        <v>4</v>
      </c>
      <c r="B7" s="68">
        <v>3</v>
      </c>
      <c r="C7">
        <v>0</v>
      </c>
    </row>
    <row r="8" spans="1:9">
      <c r="A8">
        <v>5</v>
      </c>
      <c r="B8" s="68">
        <v>4</v>
      </c>
      <c r="C8">
        <v>0</v>
      </c>
    </row>
    <row r="9" spans="1:9">
      <c r="A9">
        <v>6</v>
      </c>
      <c r="B9" s="68">
        <v>4.5</v>
      </c>
      <c r="C9">
        <v>3</v>
      </c>
      <c r="E9" t="s">
        <v>70</v>
      </c>
      <c r="F9">
        <v>7.5</v>
      </c>
      <c r="G9" t="s">
        <v>11</v>
      </c>
    </row>
    <row r="10" spans="1:9">
      <c r="A10">
        <v>7</v>
      </c>
      <c r="B10" s="68">
        <v>5</v>
      </c>
      <c r="C10">
        <v>5</v>
      </c>
      <c r="E10" t="s">
        <v>71</v>
      </c>
      <c r="F10">
        <v>16.5</v>
      </c>
      <c r="G10" t="s">
        <v>11</v>
      </c>
    </row>
    <row r="11" spans="1:9">
      <c r="A11">
        <v>8</v>
      </c>
      <c r="B11" s="68">
        <v>5.5</v>
      </c>
      <c r="C11">
        <v>9</v>
      </c>
    </row>
    <row r="12" spans="1:9">
      <c r="A12">
        <v>9</v>
      </c>
      <c r="B12" s="68">
        <v>6</v>
      </c>
      <c r="C12">
        <v>14</v>
      </c>
    </row>
    <row r="13" spans="1:9">
      <c r="A13">
        <v>10</v>
      </c>
      <c r="B13" s="68">
        <v>6.5</v>
      </c>
      <c r="C13">
        <v>14</v>
      </c>
      <c r="E13" s="55" t="s">
        <v>66</v>
      </c>
      <c r="F13" s="33">
        <f>F10-F9</f>
        <v>9</v>
      </c>
      <c r="G13" s="33" t="s">
        <v>11</v>
      </c>
    </row>
    <row r="14" spans="1:9">
      <c r="A14">
        <v>11</v>
      </c>
      <c r="B14" s="68">
        <v>7</v>
      </c>
      <c r="C14">
        <v>16</v>
      </c>
      <c r="E14" s="55" t="s">
        <v>68</v>
      </c>
      <c r="F14" s="62">
        <v>6.7</v>
      </c>
      <c r="G14" s="33" t="s">
        <v>67</v>
      </c>
    </row>
    <row r="15" spans="1:9">
      <c r="A15">
        <v>12</v>
      </c>
      <c r="B15" s="68">
        <v>7.5</v>
      </c>
      <c r="C15">
        <v>18</v>
      </c>
      <c r="E15" s="55" t="s">
        <v>69</v>
      </c>
      <c r="F15" s="34">
        <f>ABS((F13-F14)/F14)</f>
        <v>0.34328358208955223</v>
      </c>
      <c r="G15" s="33"/>
    </row>
    <row r="16" spans="1:9">
      <c r="A16">
        <v>13</v>
      </c>
      <c r="B16" s="68">
        <v>8</v>
      </c>
      <c r="C16">
        <v>15</v>
      </c>
    </row>
    <row r="17" spans="1:3">
      <c r="A17">
        <v>14</v>
      </c>
      <c r="B17" s="68">
        <v>8.5</v>
      </c>
      <c r="C17">
        <v>5</v>
      </c>
    </row>
    <row r="18" spans="1:3">
      <c r="A18">
        <v>15</v>
      </c>
      <c r="B18" s="68">
        <v>9</v>
      </c>
      <c r="C18">
        <v>1</v>
      </c>
    </row>
    <row r="19" spans="1:3">
      <c r="A19">
        <v>16</v>
      </c>
      <c r="B19" s="68">
        <v>9.5</v>
      </c>
      <c r="C19">
        <v>2</v>
      </c>
    </row>
    <row r="20" spans="1:3">
      <c r="A20">
        <v>17</v>
      </c>
      <c r="B20" s="68">
        <v>10</v>
      </c>
      <c r="C20">
        <v>5</v>
      </c>
    </row>
    <row r="21" spans="1:3">
      <c r="A21">
        <v>18</v>
      </c>
      <c r="B21" s="68">
        <v>10.5</v>
      </c>
      <c r="C21">
        <v>9</v>
      </c>
    </row>
    <row r="22" spans="1:3">
      <c r="A22">
        <v>19</v>
      </c>
      <c r="B22" s="68">
        <v>11</v>
      </c>
      <c r="C22">
        <v>14</v>
      </c>
    </row>
    <row r="23" spans="1:3">
      <c r="A23">
        <v>20</v>
      </c>
      <c r="B23" s="68">
        <v>11.5</v>
      </c>
      <c r="C23">
        <v>16</v>
      </c>
    </row>
    <row r="24" spans="1:3">
      <c r="A24">
        <v>21</v>
      </c>
      <c r="B24" s="68">
        <v>12</v>
      </c>
      <c r="C24">
        <v>18</v>
      </c>
    </row>
    <row r="25" spans="1:3">
      <c r="A25">
        <v>22</v>
      </c>
      <c r="B25" s="68">
        <v>12.5</v>
      </c>
      <c r="C25">
        <v>22</v>
      </c>
    </row>
    <row r="26" spans="1:3">
      <c r="A26">
        <v>23</v>
      </c>
      <c r="B26" s="68">
        <v>13</v>
      </c>
      <c r="C26">
        <v>26</v>
      </c>
    </row>
    <row r="27" spans="1:3">
      <c r="A27">
        <v>24</v>
      </c>
      <c r="B27" s="68">
        <v>13.5</v>
      </c>
      <c r="C27">
        <v>27</v>
      </c>
    </row>
    <row r="28" spans="1:3">
      <c r="A28">
        <v>25</v>
      </c>
      <c r="B28" s="68">
        <v>14</v>
      </c>
      <c r="C28">
        <v>26</v>
      </c>
    </row>
    <row r="29" spans="1:3">
      <c r="A29">
        <v>26</v>
      </c>
      <c r="B29" s="68">
        <v>14.5</v>
      </c>
      <c r="C29">
        <v>19</v>
      </c>
    </row>
    <row r="30" spans="1:3">
      <c r="A30">
        <v>27</v>
      </c>
      <c r="B30" s="68">
        <v>15</v>
      </c>
      <c r="C30">
        <v>14</v>
      </c>
    </row>
    <row r="31" spans="1:3">
      <c r="A31">
        <v>28</v>
      </c>
      <c r="B31" s="68">
        <v>15.5</v>
      </c>
      <c r="C31">
        <v>12</v>
      </c>
    </row>
    <row r="32" spans="1:3">
      <c r="A32">
        <v>29</v>
      </c>
      <c r="B32" s="68">
        <v>16</v>
      </c>
      <c r="C32">
        <v>15</v>
      </c>
    </row>
    <row r="33" spans="1:3">
      <c r="A33">
        <v>30</v>
      </c>
      <c r="B33" s="68">
        <v>16.5</v>
      </c>
      <c r="C33">
        <v>16</v>
      </c>
    </row>
    <row r="34" spans="1:3">
      <c r="A34">
        <v>31</v>
      </c>
      <c r="B34" s="68">
        <v>17</v>
      </c>
      <c r="C34">
        <v>16</v>
      </c>
    </row>
    <row r="35" spans="1:3">
      <c r="A35">
        <v>32</v>
      </c>
      <c r="B35" s="68">
        <v>17.5</v>
      </c>
      <c r="C35">
        <v>19</v>
      </c>
    </row>
    <row r="36" spans="1:3">
      <c r="A36">
        <v>33</v>
      </c>
      <c r="B36" s="68">
        <v>18</v>
      </c>
      <c r="C36">
        <v>24</v>
      </c>
    </row>
    <row r="37" spans="1:3">
      <c r="A37">
        <v>34</v>
      </c>
      <c r="B37" s="68">
        <v>18.5</v>
      </c>
      <c r="C37">
        <v>29</v>
      </c>
    </row>
    <row r="38" spans="1:3">
      <c r="A38">
        <v>35</v>
      </c>
      <c r="B38" s="68">
        <v>19</v>
      </c>
      <c r="C38">
        <v>31</v>
      </c>
    </row>
    <row r="39" spans="1:3">
      <c r="A39">
        <v>36</v>
      </c>
      <c r="B39" s="68">
        <v>19.5</v>
      </c>
      <c r="C39">
        <v>33</v>
      </c>
    </row>
    <row r="40" spans="1:3">
      <c r="A40">
        <v>37</v>
      </c>
      <c r="B40" s="68">
        <v>20</v>
      </c>
      <c r="C40">
        <v>32</v>
      </c>
    </row>
    <row r="41" spans="1:3">
      <c r="A41">
        <v>38</v>
      </c>
      <c r="B41" s="68">
        <v>20.5</v>
      </c>
      <c r="C41">
        <v>28</v>
      </c>
    </row>
    <row r="42" spans="1:3">
      <c r="A42">
        <v>39</v>
      </c>
      <c r="B42" s="68">
        <v>21</v>
      </c>
      <c r="C42">
        <v>26</v>
      </c>
    </row>
    <row r="43" spans="1:3">
      <c r="A43">
        <v>40</v>
      </c>
      <c r="B43" s="68">
        <v>21.5</v>
      </c>
      <c r="C43">
        <v>25</v>
      </c>
    </row>
    <row r="44" spans="1:3">
      <c r="A44">
        <v>41</v>
      </c>
      <c r="B44" s="68">
        <v>22</v>
      </c>
      <c r="C44">
        <v>25</v>
      </c>
    </row>
    <row r="45" spans="1:3">
      <c r="A45">
        <v>42</v>
      </c>
      <c r="B45" s="68">
        <v>22.5</v>
      </c>
      <c r="C45">
        <v>25</v>
      </c>
    </row>
    <row r="46" spans="1:3">
      <c r="A46">
        <v>43</v>
      </c>
      <c r="B46" s="68">
        <v>23</v>
      </c>
      <c r="C46">
        <v>26</v>
      </c>
    </row>
    <row r="47" spans="1:3">
      <c r="A47">
        <v>44</v>
      </c>
      <c r="B47" s="68">
        <v>23.5</v>
      </c>
      <c r="C47">
        <v>30</v>
      </c>
    </row>
    <row r="48" spans="1:3">
      <c r="A48">
        <v>45</v>
      </c>
      <c r="B48" s="68">
        <v>24</v>
      </c>
      <c r="C48">
        <v>32</v>
      </c>
    </row>
    <row r="49" spans="1:3">
      <c r="A49">
        <v>46</v>
      </c>
      <c r="B49" s="68">
        <v>24.5</v>
      </c>
      <c r="C49">
        <v>35</v>
      </c>
    </row>
    <row r="50" spans="1:3">
      <c r="A50">
        <v>47</v>
      </c>
      <c r="B50" s="68">
        <v>25</v>
      </c>
      <c r="C50">
        <v>38</v>
      </c>
    </row>
    <row r="51" spans="1:3">
      <c r="A51">
        <v>48</v>
      </c>
      <c r="B51" s="68">
        <v>25.5</v>
      </c>
      <c r="C51">
        <v>40</v>
      </c>
    </row>
    <row r="52" spans="1:3">
      <c r="A52">
        <v>49</v>
      </c>
      <c r="B52" s="68">
        <v>26</v>
      </c>
      <c r="C52">
        <v>40</v>
      </c>
    </row>
    <row r="53" spans="1:3">
      <c r="A53">
        <v>50</v>
      </c>
      <c r="B53" s="68">
        <v>26.5</v>
      </c>
      <c r="C53">
        <v>41</v>
      </c>
    </row>
    <row r="54" spans="1:3">
      <c r="A54">
        <v>51</v>
      </c>
      <c r="B54" s="68">
        <v>27</v>
      </c>
      <c r="C54">
        <v>40</v>
      </c>
    </row>
    <row r="55" spans="1:3">
      <c r="A55">
        <v>52</v>
      </c>
      <c r="B55" s="68">
        <v>27.5</v>
      </c>
      <c r="C55">
        <v>40</v>
      </c>
    </row>
    <row r="56" spans="1:3">
      <c r="A56">
        <v>53</v>
      </c>
      <c r="B56" s="68">
        <v>28</v>
      </c>
      <c r="C56">
        <v>41</v>
      </c>
    </row>
    <row r="57" spans="1:3">
      <c r="A57">
        <v>54</v>
      </c>
      <c r="B57" s="68">
        <v>28.5</v>
      </c>
      <c r="C57">
        <v>41</v>
      </c>
    </row>
    <row r="58" spans="1:3">
      <c r="A58">
        <v>55</v>
      </c>
      <c r="B58" s="68">
        <v>29</v>
      </c>
      <c r="C58">
        <v>42</v>
      </c>
    </row>
    <row r="59" spans="1:3">
      <c r="A59">
        <v>56</v>
      </c>
      <c r="B59" s="68">
        <v>29.5</v>
      </c>
      <c r="C59">
        <v>44</v>
      </c>
    </row>
    <row r="60" spans="1:3">
      <c r="A60">
        <v>57</v>
      </c>
      <c r="B60" s="68">
        <v>30</v>
      </c>
      <c r="C60">
        <v>47</v>
      </c>
    </row>
  </sheetData>
  <autoFilter ref="A3:C133" xr:uid="{67A4E0E8-6966-443A-8704-FBA0CC7778A4}">
    <sortState xmlns:xlrd2="http://schemas.microsoft.com/office/spreadsheetml/2017/richdata2" ref="A4:C62">
      <sortCondition ref="B3:B133"/>
    </sortState>
  </autoFilter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零电流法 h与ν0</vt:lpstr>
      <vt:lpstr>补偿法 h与ν0</vt:lpstr>
      <vt:lpstr>I-U关系</vt:lpstr>
      <vt:lpstr>Im-P关系</vt:lpstr>
      <vt:lpstr>IP-VG2K第一激发</vt:lpstr>
      <vt:lpstr>IP-VG2K高激发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 momooo</dc:creator>
  <cp:lastModifiedBy>Administrator momooo</cp:lastModifiedBy>
  <dcterms:created xsi:type="dcterms:W3CDTF">2025-11-18T08:07:47Z</dcterms:created>
  <dcterms:modified xsi:type="dcterms:W3CDTF">2025-12-26T10:01:50Z</dcterms:modified>
</cp:coreProperties>
</file>