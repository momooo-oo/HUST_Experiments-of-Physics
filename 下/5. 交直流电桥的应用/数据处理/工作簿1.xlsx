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新文件\3. 大二上\1. 学习资料\7. 物理实验\5. 交直流电桥的应用\数据处理\"/>
    </mc:Choice>
  </mc:AlternateContent>
  <xr:revisionPtr revIDLastSave="0" documentId="13_ncr:1_{73619FB6-2649-4C7E-9C3A-49ED53CFFE8B}" xr6:coauthVersionLast="47" xr6:coauthVersionMax="47" xr10:uidLastSave="{00000000-0000-0000-0000-000000000000}"/>
  <bookViews>
    <workbookView xWindow="1524" yWindow="2976" windowWidth="17280" windowHeight="9960" activeTab="4" xr2:uid="{C786B2C4-17BF-4EAC-996C-2CF1CADBBC51}"/>
  </bookViews>
  <sheets>
    <sheet name="Sheet1" sheetId="1" r:id="rId1"/>
    <sheet name="Sheet2" sheetId="2" r:id="rId2"/>
    <sheet name="Sheet3" sheetId="3" r:id="rId3"/>
    <sheet name="Sheet4" sheetId="4" r:id="rId4"/>
    <sheet name="三理论备用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4" l="1"/>
  <c r="D15" i="4"/>
  <c r="D12" i="5"/>
  <c r="E12" i="5" s="1"/>
  <c r="H12" i="5" s="1"/>
  <c r="F12" i="5"/>
  <c r="D11" i="5"/>
  <c r="E11" i="5" s="1"/>
  <c r="H11" i="5" s="1"/>
  <c r="F11" i="5"/>
  <c r="D10" i="5"/>
  <c r="E10" i="5" s="1"/>
  <c r="H10" i="5" s="1"/>
  <c r="F10" i="5"/>
  <c r="D9" i="5"/>
  <c r="E9" i="5" s="1"/>
  <c r="H9" i="5" s="1"/>
  <c r="F9" i="5"/>
  <c r="D8" i="5"/>
  <c r="E8" i="5" s="1"/>
  <c r="H8" i="5" s="1"/>
  <c r="F8" i="5"/>
  <c r="G8" i="5" s="1"/>
  <c r="D7" i="5"/>
  <c r="E7" i="5" s="1"/>
  <c r="H7" i="5" s="1"/>
  <c r="F7" i="5"/>
  <c r="D6" i="5"/>
  <c r="E6" i="5" s="1"/>
  <c r="H6" i="5" s="1"/>
  <c r="F6" i="5"/>
  <c r="D5" i="5"/>
  <c r="E5" i="5" s="1"/>
  <c r="H5" i="5" s="1"/>
  <c r="F5" i="5"/>
  <c r="D4" i="5"/>
  <c r="E4" i="5" s="1"/>
  <c r="F4" i="5"/>
  <c r="K8" i="3"/>
  <c r="K9" i="3"/>
  <c r="K10" i="3"/>
  <c r="K11" i="3"/>
  <c r="K12" i="3"/>
  <c r="K13" i="3"/>
  <c r="K14" i="3"/>
  <c r="K15" i="3"/>
  <c r="K7" i="3"/>
  <c r="J8" i="2"/>
  <c r="J9" i="2"/>
  <c r="J10" i="2"/>
  <c r="J11" i="2"/>
  <c r="J12" i="2"/>
  <c r="J13" i="2"/>
  <c r="J14" i="2"/>
  <c r="J15" i="2"/>
  <c r="J16" i="2"/>
  <c r="J7" i="2"/>
  <c r="D29" i="2"/>
  <c r="J11" i="4"/>
  <c r="J10" i="4"/>
  <c r="J4" i="4"/>
  <c r="J12" i="4" s="1"/>
  <c r="D4" i="4"/>
  <c r="D12" i="4" s="1"/>
  <c r="D11" i="4"/>
  <c r="D10" i="4"/>
  <c r="I15" i="3"/>
  <c r="H8" i="3"/>
  <c r="H9" i="3"/>
  <c r="H10" i="3"/>
  <c r="H11" i="3"/>
  <c r="H12" i="3"/>
  <c r="H13" i="3"/>
  <c r="H14" i="3"/>
  <c r="H15" i="3"/>
  <c r="H7" i="3"/>
  <c r="E8" i="3"/>
  <c r="F8" i="3" s="1"/>
  <c r="I8" i="3" s="1"/>
  <c r="J8" i="3" s="1"/>
  <c r="E9" i="3"/>
  <c r="F9" i="3" s="1"/>
  <c r="I9" i="3" s="1"/>
  <c r="J9" i="3" s="1"/>
  <c r="E10" i="3"/>
  <c r="F10" i="3" s="1"/>
  <c r="I10" i="3" s="1"/>
  <c r="J10" i="3" s="1"/>
  <c r="E11" i="3"/>
  <c r="F11" i="3" s="1"/>
  <c r="I11" i="3" s="1"/>
  <c r="J11" i="3" s="1"/>
  <c r="E12" i="3"/>
  <c r="F12" i="3" s="1"/>
  <c r="I12" i="3" s="1"/>
  <c r="J12" i="3" s="1"/>
  <c r="E13" i="3"/>
  <c r="F13" i="3" s="1"/>
  <c r="I13" i="3" s="1"/>
  <c r="J13" i="3" s="1"/>
  <c r="E14" i="3"/>
  <c r="E15" i="3"/>
  <c r="F15" i="3" s="1"/>
  <c r="E7" i="3"/>
  <c r="F7" i="3" s="1"/>
  <c r="I7" i="3" s="1"/>
  <c r="F14" i="3"/>
  <c r="I14" i="3" s="1"/>
  <c r="J14" i="3" s="1"/>
  <c r="D8" i="3"/>
  <c r="D9" i="3"/>
  <c r="D10" i="3"/>
  <c r="D11" i="3"/>
  <c r="D12" i="3"/>
  <c r="D13" i="3"/>
  <c r="D14" i="3"/>
  <c r="D15" i="3"/>
  <c r="D16" i="3"/>
  <c r="E16" i="3" s="1"/>
  <c r="F16" i="3" s="1"/>
  <c r="I16" i="3" s="1"/>
  <c r="D7" i="3"/>
  <c r="G8" i="3"/>
  <c r="G9" i="3"/>
  <c r="G10" i="3"/>
  <c r="G11" i="3"/>
  <c r="G12" i="3"/>
  <c r="G13" i="3"/>
  <c r="G14" i="3"/>
  <c r="G15" i="3"/>
  <c r="G16" i="3"/>
  <c r="H16" i="3" s="1"/>
  <c r="G7" i="3"/>
  <c r="D26" i="2"/>
  <c r="C26" i="2"/>
  <c r="E8" i="1"/>
  <c r="F8" i="2"/>
  <c r="G8" i="2" s="1"/>
  <c r="I8" i="2" s="1"/>
  <c r="F9" i="2"/>
  <c r="G9" i="2" s="1"/>
  <c r="I9" i="2" s="1"/>
  <c r="F10" i="2"/>
  <c r="G10" i="2" s="1"/>
  <c r="I10" i="2" s="1"/>
  <c r="F11" i="2"/>
  <c r="G11" i="2" s="1"/>
  <c r="I11" i="2" s="1"/>
  <c r="F12" i="2"/>
  <c r="G12" i="2" s="1"/>
  <c r="I12" i="2" s="1"/>
  <c r="F13" i="2"/>
  <c r="G13" i="2" s="1"/>
  <c r="I13" i="2" s="1"/>
  <c r="F14" i="2"/>
  <c r="G14" i="2" s="1"/>
  <c r="I14" i="2" s="1"/>
  <c r="F15" i="2"/>
  <c r="G15" i="2" s="1"/>
  <c r="F16" i="2"/>
  <c r="G16" i="2" s="1"/>
  <c r="I16" i="2" s="1"/>
  <c r="F7" i="2"/>
  <c r="G7" i="2" s="1"/>
  <c r="I7" i="2" s="1"/>
  <c r="D8" i="2"/>
  <c r="E8" i="2" s="1"/>
  <c r="H8" i="2" s="1"/>
  <c r="D9" i="2"/>
  <c r="E9" i="2" s="1"/>
  <c r="H9" i="2" s="1"/>
  <c r="D10" i="2"/>
  <c r="E10" i="2" s="1"/>
  <c r="H10" i="2" s="1"/>
  <c r="D11" i="2"/>
  <c r="E11" i="2" s="1"/>
  <c r="H11" i="2" s="1"/>
  <c r="D12" i="2"/>
  <c r="E12" i="2" s="1"/>
  <c r="H12" i="2" s="1"/>
  <c r="D13" i="2"/>
  <c r="E13" i="2" s="1"/>
  <c r="H13" i="2" s="1"/>
  <c r="D14" i="2"/>
  <c r="E14" i="2" s="1"/>
  <c r="H14" i="2" s="1"/>
  <c r="D15" i="2"/>
  <c r="E15" i="2" s="1"/>
  <c r="H15" i="2" s="1"/>
  <c r="D16" i="2"/>
  <c r="E16" i="2" s="1"/>
  <c r="H16" i="2" s="1"/>
  <c r="D7" i="2"/>
  <c r="E7" i="2" s="1"/>
  <c r="H7" i="2" s="1"/>
  <c r="B8" i="1"/>
  <c r="B10" i="1" s="1"/>
  <c r="K16" i="3" l="1"/>
  <c r="F22" i="3" s="1"/>
  <c r="F25" i="3"/>
  <c r="F19" i="3"/>
  <c r="H26" i="2"/>
  <c r="G26" i="2"/>
  <c r="G12" i="5"/>
  <c r="G11" i="5"/>
  <c r="G10" i="5"/>
  <c r="G7" i="5"/>
  <c r="G6" i="5"/>
  <c r="G5" i="5"/>
  <c r="F20" i="5"/>
  <c r="F19" i="5"/>
  <c r="C15" i="5" s="1"/>
  <c r="G4" i="5"/>
  <c r="F16" i="5"/>
  <c r="F21" i="5"/>
  <c r="H4" i="5"/>
  <c r="F18" i="5" s="1"/>
  <c r="G9" i="5"/>
  <c r="F15" i="5"/>
  <c r="C29" i="2"/>
  <c r="J7" i="3"/>
  <c r="F20" i="3"/>
  <c r="J16" i="3"/>
  <c r="J15" i="3"/>
  <c r="G28" i="2"/>
  <c r="C28" i="2"/>
  <c r="D27" i="2"/>
  <c r="G27" i="2"/>
  <c r="H27" i="2"/>
  <c r="H28" i="2"/>
  <c r="G21" i="2"/>
  <c r="F23" i="2" s="1"/>
  <c r="C27" i="2"/>
  <c r="I15" i="2"/>
  <c r="D28" i="2" s="1"/>
  <c r="E21" i="2"/>
  <c r="D23" i="2" s="1"/>
  <c r="F24" i="3"/>
  <c r="F23" i="3"/>
  <c r="C19" i="3" s="1"/>
  <c r="C25" i="3" s="1"/>
  <c r="C16" i="5" l="1"/>
  <c r="F17" i="5"/>
  <c r="F21" i="3"/>
  <c r="G18" i="2"/>
  <c r="F20" i="2" s="1"/>
  <c r="E18" i="2"/>
  <c r="D20" i="2" s="1"/>
  <c r="C20" i="3"/>
  <c r="C26" i="3" s="1"/>
</calcChain>
</file>

<file path=xl/sharedStrings.xml><?xml version="1.0" encoding="utf-8"?>
<sst xmlns="http://schemas.openxmlformats.org/spreadsheetml/2006/main" count="166" uniqueCount="89">
  <si>
    <t>一、平衡电桥测铜电阻</t>
    <phoneticPr fontId="1" type="noConversion"/>
  </si>
  <si>
    <t>二、卧式电桥测铜电阻</t>
    <phoneticPr fontId="1" type="noConversion"/>
  </si>
  <si>
    <t>三、（选做）立式电桥测热敏电阻</t>
    <phoneticPr fontId="1" type="noConversion"/>
  </si>
  <si>
    <t>序号</t>
    <phoneticPr fontId="1" type="noConversion"/>
  </si>
  <si>
    <t>Us</t>
    <phoneticPr fontId="1" type="noConversion"/>
  </si>
  <si>
    <t>Ra</t>
    <phoneticPr fontId="1" type="noConversion"/>
  </si>
  <si>
    <t>Rb</t>
    <phoneticPr fontId="1" type="noConversion"/>
  </si>
  <si>
    <t>Rn</t>
    <phoneticPr fontId="1" type="noConversion"/>
  </si>
  <si>
    <t>Ω</t>
  </si>
  <si>
    <t>V</t>
    <phoneticPr fontId="1" type="noConversion"/>
  </si>
  <si>
    <r>
      <t>α</t>
    </r>
    <r>
      <rPr>
        <sz val="11"/>
        <color theme="1"/>
        <rFont val="宋体"/>
        <family val="3"/>
        <charset val="134"/>
      </rPr>
      <t>（℃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宋体"/>
        <family val="3"/>
        <charset val="134"/>
      </rPr>
      <t>）</t>
    </r>
    <phoneticPr fontId="1" type="noConversion"/>
  </si>
  <si>
    <t>简化式</t>
    <phoneticPr fontId="1" type="noConversion"/>
  </si>
  <si>
    <t>原式</t>
    <phoneticPr fontId="1" type="noConversion"/>
  </si>
  <si>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宋体"/>
        <family val="2"/>
        <charset val="134"/>
      </rPr>
      <t>R(</t>
    </r>
    <r>
      <rPr>
        <b/>
        <u/>
        <sz val="14"/>
        <color rgb="FFFF0000"/>
        <rFont val="宋体"/>
        <family val="3"/>
        <charset val="134"/>
      </rPr>
      <t>简化式</t>
    </r>
    <r>
      <rPr>
        <sz val="11"/>
        <color theme="1"/>
        <rFont val="宋体"/>
        <family val="2"/>
        <charset val="134"/>
      </rPr>
      <t>)</t>
    </r>
    <phoneticPr fontId="1" type="noConversion"/>
  </si>
  <si>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宋体"/>
        <family val="2"/>
        <charset val="134"/>
      </rPr>
      <t>R</t>
    </r>
    <r>
      <rPr>
        <sz val="11"/>
        <color theme="1"/>
        <rFont val="Calibri"/>
        <family val="2"/>
      </rPr>
      <t>(</t>
    </r>
    <r>
      <rPr>
        <b/>
        <u/>
        <sz val="14"/>
        <color rgb="FFFF0000"/>
        <rFont val="宋体"/>
        <family val="3"/>
        <charset val="134"/>
      </rPr>
      <t>原式</t>
    </r>
    <r>
      <rPr>
        <sz val="11"/>
        <color theme="1"/>
        <rFont val="Calibri"/>
        <family val="2"/>
      </rPr>
      <t>)</t>
    </r>
    <phoneticPr fontId="1" type="noConversion"/>
  </si>
  <si>
    <r>
      <t>k</t>
    </r>
    <r>
      <rPr>
        <sz val="11"/>
        <color theme="1"/>
        <rFont val="Calibri"/>
        <family val="2"/>
        <charset val="161"/>
      </rPr>
      <t>Ω</t>
    </r>
    <r>
      <rPr>
        <sz val="11"/>
        <color theme="1"/>
        <rFont val="宋体"/>
        <family val="2"/>
        <charset val="134"/>
      </rPr>
      <t xml:space="preserve">    =</t>
    </r>
    <phoneticPr fontId="1" type="noConversion"/>
  </si>
  <si>
    <t>Rx(简化式)</t>
    <phoneticPr fontId="1" type="noConversion"/>
  </si>
  <si>
    <t>Rx(原式)</t>
    <phoneticPr fontId="1" type="noConversion"/>
  </si>
  <si>
    <r>
      <t>U0/</t>
    </r>
    <r>
      <rPr>
        <b/>
        <sz val="11"/>
        <color theme="1"/>
        <rFont val="宋体"/>
        <family val="3"/>
        <charset val="134"/>
      </rPr>
      <t>mV</t>
    </r>
    <phoneticPr fontId="1" type="noConversion"/>
  </si>
  <si>
    <t>R0</t>
    <phoneticPr fontId="1" type="noConversion"/>
  </si>
  <si>
    <t>温度t (℃)</t>
    <phoneticPr fontId="1" type="noConversion"/>
  </si>
  <si>
    <r>
      <t>Ra  (k</t>
    </r>
    <r>
      <rPr>
        <sz val="11"/>
        <color theme="1"/>
        <rFont val="Calibri"/>
        <family val="2"/>
        <charset val="161"/>
      </rPr>
      <t>Ω</t>
    </r>
    <r>
      <rPr>
        <sz val="11"/>
        <color theme="1"/>
        <rFont val="宋体"/>
        <family val="2"/>
        <charset val="134"/>
      </rPr>
      <t>)</t>
    </r>
    <phoneticPr fontId="1" type="noConversion"/>
  </si>
  <si>
    <r>
      <t>Rn  (</t>
    </r>
    <r>
      <rPr>
        <sz val="11"/>
        <color theme="1"/>
        <rFont val="Calibri"/>
        <family val="2"/>
        <charset val="161"/>
      </rPr>
      <t>Ω</t>
    </r>
    <r>
      <rPr>
        <sz val="11"/>
        <color theme="1"/>
        <rFont val="宋体"/>
        <family val="2"/>
        <charset val="134"/>
      </rPr>
      <t>)</t>
    </r>
    <phoneticPr fontId="1" type="noConversion"/>
  </si>
  <si>
    <r>
      <t>Rb  (</t>
    </r>
    <r>
      <rPr>
        <sz val="11"/>
        <color theme="1"/>
        <rFont val="Calibri"/>
        <family val="2"/>
        <charset val="161"/>
      </rPr>
      <t>Ω</t>
    </r>
    <r>
      <rPr>
        <sz val="11"/>
        <color theme="1"/>
        <rFont val="宋体"/>
        <family val="2"/>
        <charset val="134"/>
      </rPr>
      <t>)</t>
    </r>
    <phoneticPr fontId="1" type="noConversion"/>
  </si>
  <si>
    <r>
      <t>R0  (</t>
    </r>
    <r>
      <rPr>
        <sz val="11"/>
        <color theme="1"/>
        <rFont val="Calibri"/>
        <family val="2"/>
        <charset val="161"/>
      </rPr>
      <t>Ω</t>
    </r>
    <r>
      <rPr>
        <sz val="11"/>
        <color theme="1"/>
        <rFont val="宋体"/>
        <family val="2"/>
        <charset val="134"/>
      </rPr>
      <t>)</t>
    </r>
    <phoneticPr fontId="1" type="noConversion"/>
  </si>
  <si>
    <t>百分误差</t>
    <phoneticPr fontId="1" type="noConversion"/>
  </si>
  <si>
    <t>Rt理论(Ω)</t>
    <phoneticPr fontId="1" type="noConversion"/>
  </si>
  <si>
    <r>
      <t>Rt测  (</t>
    </r>
    <r>
      <rPr>
        <sz val="11"/>
        <color theme="1"/>
        <rFont val="Calibri"/>
        <family val="2"/>
        <charset val="161"/>
      </rPr>
      <t>Ω</t>
    </r>
    <r>
      <rPr>
        <sz val="11"/>
        <color theme="1"/>
        <rFont val="宋体"/>
        <family val="2"/>
        <charset val="134"/>
      </rPr>
      <t>)</t>
    </r>
    <phoneticPr fontId="1" type="noConversion"/>
  </si>
  <si>
    <t>以下理论值</t>
    <phoneticPr fontId="1" type="noConversion"/>
  </si>
  <si>
    <r>
      <t>α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Segoe UI Symbol"/>
        <family val="3"/>
      </rPr>
      <t>℃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宋体"/>
        <family val="1"/>
        <charset val="134"/>
      </rPr>
      <t>百分误差</t>
    </r>
    <phoneticPr fontId="1" type="noConversion"/>
  </si>
  <si>
    <r>
      <t>R0</t>
    </r>
    <r>
      <rPr>
        <sz val="11"/>
        <color theme="1"/>
        <rFont val="宋体"/>
        <family val="1"/>
        <charset val="134"/>
      </rPr>
      <t>百分误差</t>
    </r>
    <phoneticPr fontId="1" type="noConversion"/>
  </si>
  <si>
    <t>竖着填</t>
    <phoneticPr fontId="1" type="noConversion"/>
  </si>
  <si>
    <t>Ω</t>
    <phoneticPr fontId="1" type="noConversion"/>
  </si>
  <si>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宋体"/>
        <family val="2"/>
        <charset val="134"/>
      </rPr>
      <t>R(原式)</t>
    </r>
    <phoneticPr fontId="1" type="noConversion"/>
  </si>
  <si>
    <t>t/℃</t>
    <phoneticPr fontId="1" type="noConversion"/>
  </si>
  <si>
    <t>T/K</t>
    <phoneticPr fontId="1" type="noConversion"/>
  </si>
  <si>
    <r>
      <t>斜率k(</t>
    </r>
    <r>
      <rPr>
        <sz val="11"/>
        <color theme="1"/>
        <rFont val="Calibri"/>
        <family val="2"/>
        <charset val="161"/>
      </rPr>
      <t>Ω</t>
    </r>
    <r>
      <rPr>
        <sz val="11"/>
        <color theme="1"/>
        <rFont val="宋体"/>
        <family val="2"/>
        <charset val="134"/>
      </rPr>
      <t>·℃^-1)</t>
    </r>
    <phoneticPr fontId="1" type="noConversion"/>
  </si>
  <si>
    <r>
      <t>截距b(</t>
    </r>
    <r>
      <rPr>
        <sz val="11"/>
        <color theme="1"/>
        <rFont val="Calibri"/>
        <family val="2"/>
        <charset val="161"/>
      </rPr>
      <t>Ω</t>
    </r>
    <r>
      <rPr>
        <sz val="11"/>
        <color theme="1"/>
        <rFont val="宋体"/>
        <family val="2"/>
        <charset val="134"/>
      </rPr>
      <t>)</t>
    </r>
    <phoneticPr fontId="1" type="noConversion"/>
  </si>
  <si>
    <t>相关系数r</t>
    <phoneticPr fontId="1" type="noConversion"/>
  </si>
  <si>
    <t>x bar</t>
    <phoneticPr fontId="1" type="noConversion"/>
  </si>
  <si>
    <t>y bar</t>
    <phoneticPr fontId="1" type="noConversion"/>
  </si>
  <si>
    <t>xy bar</t>
    <phoneticPr fontId="1" type="noConversion"/>
  </si>
  <si>
    <t>xy</t>
    <phoneticPr fontId="1" type="noConversion"/>
  </si>
  <si>
    <t>xy(简化式)</t>
    <phoneticPr fontId="1" type="noConversion"/>
  </si>
  <si>
    <t>xy(原式)</t>
    <phoneticPr fontId="1" type="noConversion"/>
  </si>
  <si>
    <t>(1/T)/(K^-1)</t>
    <phoneticPr fontId="1" type="noConversion"/>
  </si>
  <si>
    <t>lnRx</t>
    <phoneticPr fontId="1" type="noConversion"/>
  </si>
  <si>
    <t>U0/V</t>
    <phoneticPr fontId="1" type="noConversion"/>
  </si>
  <si>
    <r>
      <t>Bn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3"/>
      </rPr>
      <t>K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</si>
  <si>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t>R25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3"/>
        <charset val="161"/>
      </rPr>
      <t>Ω</t>
    </r>
    <r>
      <rPr>
        <sz val="11"/>
        <color theme="1"/>
        <rFont val="宋体"/>
        <family val="3"/>
        <charset val="134"/>
      </rPr>
      <t>）</t>
    </r>
    <phoneticPr fontId="1" type="noConversion"/>
  </si>
  <si>
    <t>截距b(无量纲)</t>
    <phoneticPr fontId="1" type="noConversion"/>
  </si>
  <si>
    <t>斜率k(K)</t>
    <phoneticPr fontId="1" type="noConversion"/>
  </si>
  <si>
    <t>简
化
式</t>
    <phoneticPr fontId="1" type="noConversion"/>
  </si>
  <si>
    <t>原
式</t>
    <phoneticPr fontId="1" type="noConversion"/>
  </si>
  <si>
    <t>四、交流电桥测量电容</t>
    <phoneticPr fontId="1" type="noConversion"/>
  </si>
  <si>
    <t>交流电压频率</t>
    <phoneticPr fontId="1" type="noConversion"/>
  </si>
  <si>
    <t>Hz</t>
    <phoneticPr fontId="1" type="noConversion"/>
  </si>
  <si>
    <t>平衡时</t>
    <phoneticPr fontId="1" type="noConversion"/>
  </si>
  <si>
    <t>Cn</t>
    <phoneticPr fontId="1" type="noConversion"/>
  </si>
  <si>
    <t>μF</t>
    <phoneticPr fontId="1" type="noConversion"/>
  </si>
  <si>
    <t>计算结果</t>
    <phoneticPr fontId="1" type="noConversion"/>
  </si>
  <si>
    <t>Cx</t>
    <phoneticPr fontId="1" type="noConversion"/>
  </si>
  <si>
    <t>五、交流电桥测量电感</t>
    <phoneticPr fontId="1" type="noConversion"/>
  </si>
  <si>
    <t>mH</t>
    <phoneticPr fontId="1" type="noConversion"/>
  </si>
  <si>
    <r>
      <t>损耗因子tan</t>
    </r>
    <r>
      <rPr>
        <sz val="11"/>
        <color theme="1"/>
        <rFont val="Calibri"/>
        <family val="2"/>
        <charset val="161"/>
      </rPr>
      <t>δ</t>
    </r>
    <phoneticPr fontId="1" type="noConversion"/>
  </si>
  <si>
    <t>无量纲</t>
    <phoneticPr fontId="1" type="noConversion"/>
  </si>
  <si>
    <t>交流电压圆频率</t>
    <phoneticPr fontId="1" type="noConversion"/>
  </si>
  <si>
    <t>rC</t>
    <phoneticPr fontId="1" type="noConversion"/>
  </si>
  <si>
    <t>rL</t>
    <phoneticPr fontId="1" type="noConversion"/>
  </si>
  <si>
    <t>rad/s</t>
    <phoneticPr fontId="1" type="noConversion"/>
  </si>
  <si>
    <t>品质因数Q</t>
    <phoneticPr fontId="1" type="noConversion"/>
  </si>
  <si>
    <t>制作:</t>
    <phoneticPr fontId="18" type="noConversion"/>
  </si>
  <si>
    <t>机械学院 24级 momooo</t>
    <phoneticPr fontId="1" type="noConversion"/>
  </si>
  <si>
    <t>Last Updated:</t>
  </si>
  <si>
    <r>
      <rPr>
        <b/>
        <sz val="11"/>
        <color theme="1"/>
        <rFont val="宋体"/>
        <family val="3"/>
        <charset val="134"/>
      </rPr>
      <t>使用方法：</t>
    </r>
    <r>
      <rPr>
        <sz val="11"/>
        <color theme="1"/>
        <rFont val="宋体"/>
        <family val="2"/>
        <charset val="134"/>
      </rPr>
      <t>输入蓝底数据即可。</t>
    </r>
    <phoneticPr fontId="1" type="noConversion"/>
  </si>
  <si>
    <t>注意有效数字位数。注意单位及换算。</t>
    <phoneticPr fontId="1" type="noConversion"/>
  </si>
  <si>
    <t>x^2 bar</t>
    <phoneticPr fontId="1" type="noConversion"/>
  </si>
  <si>
    <t>x^2</t>
    <phoneticPr fontId="1" type="noConversion"/>
  </si>
  <si>
    <t>v0.1</t>
    <phoneticPr fontId="1" type="noConversion"/>
  </si>
  <si>
    <t>2025.12.24  11:28</t>
    <phoneticPr fontId="18" type="noConversion"/>
  </si>
  <si>
    <r>
      <t>Bn</t>
    </r>
    <r>
      <rPr>
        <sz val="11"/>
        <color theme="1"/>
        <rFont val="宋体"/>
        <family val="1"/>
        <charset val="134"/>
      </rPr>
      <t>参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3"/>
      </rPr>
      <t>K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</si>
  <si>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t>R25</t>
    </r>
    <r>
      <rPr>
        <sz val="11"/>
        <color theme="1"/>
        <rFont val="宋体"/>
        <family val="1"/>
        <charset val="134"/>
      </rPr>
      <t>参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3"/>
        <charset val="161"/>
      </rPr>
      <t>Ω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</si>
  <si>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rPr>
        <sz val="11"/>
        <color theme="1"/>
        <rFont val="宋体"/>
        <family val="1"/>
        <charset val="134"/>
      </rPr>
      <t>百分误差(</t>
    </r>
    <r>
      <rPr>
        <sz val="11"/>
        <color theme="1"/>
        <rFont val="Times New Roman"/>
        <family val="1"/>
      </rPr>
      <t>Bn)</t>
    </r>
    <phoneticPr fontId="1" type="noConversion"/>
  </si>
  <si>
    <r>
      <rPr>
        <sz val="11"/>
        <color theme="1"/>
        <rFont val="宋体"/>
        <family val="1"/>
        <charset val="134"/>
      </rPr>
      <t>百分误差</t>
    </r>
    <r>
      <rPr>
        <sz val="11"/>
        <color theme="1"/>
        <rFont val="Times New Roman"/>
        <family val="1"/>
      </rPr>
      <t>(R25)</t>
    </r>
    <phoneticPr fontId="1" type="noConversion"/>
  </si>
  <si>
    <t>三、（选做）立式电桥测热敏电阻（理论）</t>
    <phoneticPr fontId="1" type="noConversion"/>
  </si>
  <si>
    <t>标称值</t>
    <phoneticPr fontId="1" type="noConversion"/>
  </si>
  <si>
    <t>分析</t>
    <phoneticPr fontId="1" type="noConversion"/>
  </si>
  <si>
    <t>Lx</t>
    <phoneticPr fontId="1" type="noConversion"/>
  </si>
  <si>
    <t>Rx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</si>
</sst>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"/>
    <numFmt numFmtId="177" formatCode="0.000"/>
    <numFmt numFmtId="178" formatCode="0.000000"/>
    <numFmt numFmtId="179" formatCode="0.0000%"/>
    <numFmt numFmtId="180" formatCode="0.00000E+00"/>
    <numFmt numFmtId="181" formatCode="0.0%"/>
  </numFmts>
  <fonts count="23" x14ac:knownFonts="1"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11"/>
      <color theme="1"/>
      <name val="Calibri"/>
      <family val="2"/>
      <charset val="161"/>
    </font>
    <font>
      <sz val="11"/>
      <color theme="1"/>
      <name val="宋体"/>
      <family val="2"/>
      <charset val="134"/>
    </font>
    <font>
      <sz val="11"/>
      <color theme="1"/>
      <name val="宋体"/>
      <family val="2"/>
      <charset val="161"/>
    </font>
    <font>
      <sz val="11"/>
      <color theme="1"/>
      <name val="Calibri"/>
      <family val="2"/>
    </font>
    <font>
      <sz val="11"/>
      <color theme="1"/>
      <name val="宋体"/>
      <family val="3"/>
      <charset val="134"/>
    </font>
    <font>
      <sz val="11"/>
      <color theme="1"/>
      <name val="Segoe UI Symbol"/>
      <family val="3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b/>
      <u/>
      <sz val="14"/>
      <color rgb="FFFF0000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宋体"/>
      <family val="1"/>
      <charset val="134"/>
    </font>
    <font>
      <b/>
      <sz val="11"/>
      <color rgb="FFFF0000"/>
      <name val="宋体"/>
      <family val="3"/>
      <charset val="134"/>
    </font>
    <font>
      <sz val="11"/>
      <color theme="1"/>
      <name val="Times New Roman"/>
      <family val="3"/>
    </font>
    <font>
      <sz val="11"/>
      <color theme="1"/>
      <name val="Times New Roman"/>
      <family val="3"/>
      <charset val="161"/>
    </font>
    <font>
      <sz val="11"/>
      <color theme="1"/>
      <name val="Arial"/>
      <family val="2"/>
    </font>
    <font>
      <sz val="16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b/>
      <u/>
      <sz val="16"/>
      <color rgb="FFFF0000"/>
      <name val="宋体"/>
      <family val="3"/>
      <charset val="134"/>
    </font>
    <font>
      <b/>
      <sz val="18"/>
      <color rgb="FFFF0000"/>
      <name val="宋体"/>
      <family val="3"/>
      <charset val="134"/>
    </font>
    <font>
      <b/>
      <sz val="20"/>
      <color rgb="FFFF0000"/>
      <name val="宋体"/>
      <family val="3"/>
      <charset val="134"/>
    </font>
    <font>
      <sz val="11"/>
      <color theme="1"/>
      <name val="Times New Roman"/>
      <family val="1"/>
      <charset val="134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176" fontId="0" fillId="2" borderId="0" xfId="0" applyNumberFormat="1" applyFill="1">
      <alignment vertical="center"/>
    </xf>
    <xf numFmtId="0" fontId="0" fillId="2" borderId="0" xfId="0" applyFill="1">
      <alignment vertical="center"/>
    </xf>
    <xf numFmtId="177" fontId="0" fillId="0" borderId="0" xfId="0" applyNumberFormat="1">
      <alignment vertical="center"/>
    </xf>
    <xf numFmtId="0" fontId="8" fillId="0" borderId="0" xfId="0" applyFont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2" fontId="0" fillId="2" borderId="1" xfId="0" applyNumberFormat="1" applyFill="1" applyBorder="1">
      <alignment vertical="center"/>
    </xf>
    <xf numFmtId="0" fontId="0" fillId="3" borderId="1" xfId="0" applyFill="1" applyBorder="1">
      <alignment vertical="center"/>
    </xf>
    <xf numFmtId="0" fontId="4" fillId="0" borderId="1" xfId="0" applyFont="1" applyBorder="1">
      <alignment vertical="center"/>
    </xf>
    <xf numFmtId="0" fontId="11" fillId="0" borderId="0" xfId="0" applyFont="1">
      <alignment vertical="center"/>
    </xf>
    <xf numFmtId="176" fontId="0" fillId="3" borderId="0" xfId="0" applyNumberFormat="1" applyFill="1">
      <alignment vertical="center"/>
    </xf>
    <xf numFmtId="0" fontId="8" fillId="0" borderId="0" xfId="0" applyFont="1" applyAlignment="1">
      <alignment horizontal="center" vertical="center"/>
    </xf>
    <xf numFmtId="178" fontId="0" fillId="0" borderId="0" xfId="0" applyNumberFormat="1">
      <alignment vertical="center"/>
    </xf>
    <xf numFmtId="0" fontId="8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8" fillId="5" borderId="0" xfId="0" applyFont="1" applyFill="1" applyAlignment="1">
      <alignment horizontal="right" vertical="center"/>
    </xf>
    <xf numFmtId="0" fontId="8" fillId="5" borderId="0" xfId="0" applyFont="1" applyFill="1" applyAlignment="1">
      <alignment horizontal="center" vertical="center"/>
    </xf>
    <xf numFmtId="179" fontId="0" fillId="3" borderId="0" xfId="1" applyNumberFormat="1" applyFont="1" applyFill="1">
      <alignment vertical="center"/>
    </xf>
    <xf numFmtId="0" fontId="13" fillId="0" borderId="0" xfId="0" applyFont="1">
      <alignment vertical="center"/>
    </xf>
    <xf numFmtId="0" fontId="0" fillId="0" borderId="0" xfId="0" applyAlignment="1">
      <alignment horizontal="right" vertical="center"/>
    </xf>
    <xf numFmtId="0" fontId="0" fillId="0" borderId="5" xfId="0" applyBorder="1">
      <alignment vertical="center"/>
    </xf>
    <xf numFmtId="176" fontId="0" fillId="3" borderId="1" xfId="0" applyNumberFormat="1" applyFill="1" applyBorder="1">
      <alignment vertical="center"/>
    </xf>
    <xf numFmtId="176" fontId="0" fillId="0" borderId="0" xfId="0" applyNumberFormat="1">
      <alignment vertical="center"/>
    </xf>
    <xf numFmtId="0" fontId="8" fillId="3" borderId="1" xfId="0" applyFont="1" applyFill="1" applyBorder="1" applyAlignment="1">
      <alignment horizontal="center" vertical="center"/>
    </xf>
    <xf numFmtId="180" fontId="0" fillId="3" borderId="1" xfId="0" applyNumberFormat="1" applyFill="1" applyBorder="1">
      <alignment vertical="center"/>
    </xf>
    <xf numFmtId="0" fontId="6" fillId="0" borderId="0" xfId="0" applyFont="1">
      <alignment vertical="center"/>
    </xf>
    <xf numFmtId="0" fontId="16" fillId="0" borderId="0" xfId="0" applyFont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horizontal="right" vertical="center"/>
    </xf>
    <xf numFmtId="0" fontId="2" fillId="0" borderId="1" xfId="0" applyFont="1" applyBorder="1">
      <alignment vertical="center"/>
    </xf>
    <xf numFmtId="0" fontId="17" fillId="0" borderId="0" xfId="0" applyFont="1">
      <alignment vertical="center"/>
    </xf>
    <xf numFmtId="176" fontId="0" fillId="2" borderId="1" xfId="0" applyNumberFormat="1" applyFill="1" applyBorder="1">
      <alignment vertical="center"/>
    </xf>
    <xf numFmtId="177" fontId="0" fillId="2" borderId="1" xfId="0" applyNumberFormat="1" applyFill="1" applyBorder="1">
      <alignment vertical="center"/>
    </xf>
    <xf numFmtId="0" fontId="0" fillId="0" borderId="11" xfId="0" applyBorder="1">
      <alignment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vertical="center"/>
    </xf>
    <xf numFmtId="0" fontId="19" fillId="0" borderId="0" xfId="0" applyFont="1">
      <alignment vertical="center"/>
    </xf>
    <xf numFmtId="0" fontId="0" fillId="4" borderId="1" xfId="0" applyFill="1" applyBorder="1">
      <alignment vertical="center"/>
    </xf>
    <xf numFmtId="180" fontId="0" fillId="0" borderId="0" xfId="0" applyNumberFormat="1">
      <alignment vertical="center"/>
    </xf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22" fillId="0" borderId="0" xfId="0" applyFont="1" applyAlignment="1">
      <alignment horizontal="right" vertical="center"/>
    </xf>
    <xf numFmtId="181" fontId="0" fillId="0" borderId="0" xfId="1" applyNumberFormat="1" applyFont="1">
      <alignment vertical="center"/>
    </xf>
    <xf numFmtId="176" fontId="0" fillId="0" borderId="1" xfId="0" applyNumberFormat="1" applyBorder="1">
      <alignment vertical="center"/>
    </xf>
    <xf numFmtId="180" fontId="0" fillId="0" borderId="1" xfId="0" applyNumberFormat="1" applyBorder="1">
      <alignment vertical="center"/>
    </xf>
    <xf numFmtId="181" fontId="0" fillId="0" borderId="1" xfId="1" applyNumberFormat="1" applyFont="1" applyBorder="1">
      <alignment vertical="center"/>
    </xf>
    <xf numFmtId="0" fontId="20" fillId="6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179" fontId="0" fillId="3" borderId="6" xfId="1" applyNumberFormat="1" applyFont="1" applyFill="1" applyBorder="1" applyAlignment="1">
      <alignment horizontal="center" vertical="center"/>
    </xf>
    <xf numFmtId="179" fontId="0" fillId="3" borderId="7" xfId="1" applyNumberFormat="1" applyFont="1" applyFill="1" applyBorder="1" applyAlignment="1">
      <alignment horizontal="center" vertical="center"/>
    </xf>
    <xf numFmtId="179" fontId="0" fillId="4" borderId="6" xfId="1" applyNumberFormat="1" applyFont="1" applyFill="1" applyBorder="1" applyAlignment="1">
      <alignment horizontal="center" vertical="center"/>
    </xf>
    <xf numFmtId="179" fontId="0" fillId="4" borderId="3" xfId="1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179" fontId="0" fillId="3" borderId="3" xfId="1" applyNumberFormat="1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zh-CN" altLang="en-US" sz="13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r>
              <a:rPr lang="zh-CN" altLang="en-US" sz="13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图1   铜电阻温度特性曲线</a:t>
            </a:r>
          </a:p>
        </c:rich>
      </c:tx>
      <c:layout>
        <c:manualLayout>
          <c:xMode val="edge"/>
          <c:yMode val="edge"/>
          <c:x val="0.28827466618086622"/>
          <c:y val="4.4378698224852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CN" altLang="en-US" sz="13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6787532021222286E-3"/>
                  <c:y val="0.265060240963855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宋体" panose="02010600030101010101" pitchFamily="2" charset="-122"/>
                      <a:cs typeface="Times New Roman" panose="02020603050405020304" pitchFamily="18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Sheet2!$B$7:$B$16</c:f>
              <c:numCache>
                <c:formatCode>General</c:formatCode>
                <c:ptCount val="10"/>
                <c:pt idx="0">
                  <c:v>19.899999999999999</c:v>
                </c:pt>
                <c:pt idx="1">
                  <c:v>22.9</c:v>
                </c:pt>
                <c:pt idx="2">
                  <c:v>25.9</c:v>
                </c:pt>
                <c:pt idx="3">
                  <c:v>28.9</c:v>
                </c:pt>
                <c:pt idx="4">
                  <c:v>31.9</c:v>
                </c:pt>
                <c:pt idx="5">
                  <c:v>34.9</c:v>
                </c:pt>
                <c:pt idx="6">
                  <c:v>37.9</c:v>
                </c:pt>
                <c:pt idx="7">
                  <c:v>40.9</c:v>
                </c:pt>
                <c:pt idx="8">
                  <c:v>43.9</c:v>
                </c:pt>
                <c:pt idx="9">
                  <c:v>46.9</c:v>
                </c:pt>
              </c:numCache>
            </c:numRef>
          </c:xVal>
          <c:yVal>
            <c:numRef>
              <c:f>Sheet2!$E$7:$E$16</c:f>
              <c:numCache>
                <c:formatCode>General</c:formatCode>
                <c:ptCount val="10"/>
                <c:pt idx="0">
                  <c:v>56.939450666666666</c:v>
                </c:pt>
                <c:pt idx="1">
                  <c:v>57.594938666666664</c:v>
                </c:pt>
                <c:pt idx="2">
                  <c:v>58.235253333333333</c:v>
                </c:pt>
                <c:pt idx="3">
                  <c:v>58.863429333333329</c:v>
                </c:pt>
                <c:pt idx="4">
                  <c:v>59.511330666666666</c:v>
                </c:pt>
                <c:pt idx="5">
                  <c:v>60.144058666666666</c:v>
                </c:pt>
                <c:pt idx="6">
                  <c:v>60.769958666666668</c:v>
                </c:pt>
                <c:pt idx="7">
                  <c:v>61.393582666666667</c:v>
                </c:pt>
                <c:pt idx="8">
                  <c:v>62.017206666666667</c:v>
                </c:pt>
                <c:pt idx="9">
                  <c:v>62.638554666666664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DC-41B1-AD82-02D7AE930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302192"/>
        <c:axId val="2021302672"/>
      </c:scatterChart>
      <c:valAx>
        <c:axId val="2021302192"/>
        <c:scaling>
          <c:orientation val="minMax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altLang="zh-CN" sz="1050" i="1"/>
                  <a:t>t</a:t>
                </a:r>
                <a:r>
                  <a:rPr lang="en-US" altLang="zh-CN" sz="1050"/>
                  <a:t> / </a:t>
                </a:r>
                <a:r>
                  <a:rPr lang="zh-CN" altLang="en-US" sz="1050"/>
                  <a:t>℃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#,##0.0_);[Red]\(#,##0.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2021302672"/>
        <c:crosses val="autoZero"/>
        <c:crossBetween val="midCat"/>
      </c:valAx>
      <c:valAx>
        <c:axId val="202130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altLang="zh-CN" sz="1050" i="1"/>
                  <a:t>R</a:t>
                </a:r>
                <a:r>
                  <a:rPr lang="en-US" altLang="zh-CN" sz="1050" i="1" baseline="-25000"/>
                  <a:t>t</a:t>
                </a:r>
                <a:r>
                  <a:rPr lang="en-US" altLang="zh-CN" sz="1050"/>
                  <a:t> / Ω</a:t>
                </a:r>
                <a:endParaRPr lang="zh-CN" altLang="en-US" sz="105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#,##0.0_);[Red]\(#,##0.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2021302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ea typeface="宋体" panose="02010600030101010101" pitchFamily="2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r>
              <a:rPr lang="zh-CN" altLang="en-US" sz="13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图</a:t>
            </a:r>
            <a:r>
              <a:rPr lang="en-US" altLang="zh-CN" sz="13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1   </a:t>
            </a:r>
            <a:r>
              <a:rPr lang="zh-CN" altLang="en-US" sz="13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铜电阻温度特性曲线</a:t>
            </a:r>
            <a:endParaRPr lang="zh-CN" sz="1300">
              <a:latin typeface="Times New Roman" panose="02020603050405020304" pitchFamily="18" charset="0"/>
              <a:ea typeface="楷体" panose="02010609060101010101" pitchFamily="49" charset="-122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8077692087974865"/>
          <c:y val="4.23728813559322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8960387021031113E-2"/>
                  <c:y val="0.309792843691148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宋体" panose="02010600030101010101" pitchFamily="2" charset="-122"/>
                      <a:cs typeface="Times New Roman" panose="02020603050405020304" pitchFamily="18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Sheet2!$B$7:$B$16</c:f>
              <c:numCache>
                <c:formatCode>General</c:formatCode>
                <c:ptCount val="10"/>
                <c:pt idx="0">
                  <c:v>19.899999999999999</c:v>
                </c:pt>
                <c:pt idx="1">
                  <c:v>22.9</c:v>
                </c:pt>
                <c:pt idx="2">
                  <c:v>25.9</c:v>
                </c:pt>
                <c:pt idx="3">
                  <c:v>28.9</c:v>
                </c:pt>
                <c:pt idx="4">
                  <c:v>31.9</c:v>
                </c:pt>
                <c:pt idx="5">
                  <c:v>34.9</c:v>
                </c:pt>
                <c:pt idx="6">
                  <c:v>37.9</c:v>
                </c:pt>
                <c:pt idx="7">
                  <c:v>40.9</c:v>
                </c:pt>
                <c:pt idx="8">
                  <c:v>43.9</c:v>
                </c:pt>
                <c:pt idx="9">
                  <c:v>46.9</c:v>
                </c:pt>
              </c:numCache>
            </c:numRef>
          </c:xVal>
          <c:yVal>
            <c:numRef>
              <c:f>Sheet2!$G$7:$G$16</c:f>
              <c:numCache>
                <c:formatCode>General</c:formatCode>
                <c:ptCount val="10"/>
                <c:pt idx="0">
                  <c:v>56.939464347640516</c:v>
                </c:pt>
                <c:pt idx="1">
                  <c:v>57.599208499906091</c:v>
                </c:pt>
                <c:pt idx="2">
                  <c:v>58.251106314085263</c:v>
                </c:pt>
                <c:pt idx="3">
                  <c:v>58.897899763926951</c:v>
                </c:pt>
                <c:pt idx="4">
                  <c:v>59.572659288472821</c:v>
                </c:pt>
                <c:pt idx="5">
                  <c:v>60.23924954022673</c:v>
                </c:pt>
                <c:pt idx="6">
                  <c:v>60.906196040000275</c:v>
                </c:pt>
                <c:pt idx="7">
                  <c:v>61.578313679490826</c:v>
                </c:pt>
                <c:pt idx="8">
                  <c:v>62.258144567379844</c:v>
                </c:pt>
                <c:pt idx="9">
                  <c:v>62.943298042629671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A4-4D9F-A1D2-C44827DD0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302192"/>
        <c:axId val="2021302672"/>
      </c:scatterChart>
      <c:valAx>
        <c:axId val="2021302192"/>
        <c:scaling>
          <c:orientation val="minMax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altLang="zh-CN" sz="1050" i="1"/>
                  <a:t>t</a:t>
                </a:r>
                <a:r>
                  <a:rPr lang="en-US" altLang="zh-CN" sz="1050"/>
                  <a:t> / </a:t>
                </a:r>
                <a:r>
                  <a:rPr lang="zh-CN" altLang="en-US" sz="1050"/>
                  <a:t>℃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#,##0.0_);[Red]\(#,##0.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2021302672"/>
        <c:crosses val="autoZero"/>
        <c:crossBetween val="midCat"/>
      </c:valAx>
      <c:valAx>
        <c:axId val="202130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altLang="zh-CN" sz="1050" i="1"/>
                  <a:t>R</a:t>
                </a:r>
                <a:r>
                  <a:rPr lang="en-US" altLang="zh-CN" sz="1050" i="1" baseline="-25000"/>
                  <a:t>t</a:t>
                </a:r>
                <a:r>
                  <a:rPr lang="en-US" altLang="zh-CN" sz="1050"/>
                  <a:t> / Ω</a:t>
                </a:r>
                <a:endParaRPr lang="zh-CN" altLang="en-US" sz="105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#,##0.0_);[Red]\(#,##0.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2021302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ea typeface="宋体" panose="02010600030101010101" pitchFamily="2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r>
              <a:rPr lang="zh-CN" altLang="en-US" sz="13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图</a:t>
            </a:r>
            <a:r>
              <a:rPr lang="en-US" altLang="zh-CN" sz="13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2   </a:t>
            </a:r>
            <a:r>
              <a:rPr lang="zh-CN" altLang="en-US" sz="13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热敏电阻温度特性曲线</a:t>
            </a:r>
            <a:r>
              <a:rPr lang="zh-CN" altLang="en-US" sz="1300">
                <a:latin typeface="楷体_GB2312" panose="02010609030101010101" pitchFamily="49" charset="-122"/>
                <a:ea typeface="楷体_GB2312" panose="02010609030101010101" pitchFamily="49" charset="-122"/>
                <a:cs typeface="Times New Roman" panose="02020603050405020304" pitchFamily="18" charset="0"/>
              </a:rPr>
              <a:t>（</a:t>
            </a:r>
            <a:r>
              <a:rPr lang="en-US" altLang="zh-CN" sz="1300" i="1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R</a:t>
            </a:r>
            <a:r>
              <a:rPr lang="en-US" altLang="zh-CN" sz="1300" i="1" baseline="-250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T</a:t>
            </a:r>
            <a:r>
              <a:rPr lang="zh-CN" altLang="en-US" sz="13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－</a:t>
            </a:r>
            <a:r>
              <a:rPr lang="en-US" altLang="zh-CN" sz="1300" i="1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T</a:t>
            </a:r>
            <a:r>
              <a:rPr lang="zh-CN" altLang="en-US" sz="13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曲线</a:t>
            </a:r>
            <a:r>
              <a:rPr lang="zh-CN" altLang="en-US" sz="1300">
                <a:latin typeface="楷体_GB2312" panose="02010609030101010101" pitchFamily="49" charset="-122"/>
                <a:ea typeface="楷体_GB2312" panose="02010609030101010101" pitchFamily="49" charset="-122"/>
                <a:cs typeface="Times New Roman" panose="02020603050405020304" pitchFamily="18" charset="0"/>
              </a:rPr>
              <a:t>）</a:t>
            </a:r>
            <a:endParaRPr lang="zh-CN" sz="1300">
              <a:latin typeface="楷体_GB2312" panose="02010609030101010101" pitchFamily="49" charset="-122"/>
              <a:ea typeface="楷体_GB2312" panose="02010609030101010101" pitchFamily="49" charset="-122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5517496314672993"/>
          <c:y val="5.0200798682399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20319926832776039"/>
          <c:y val="0.20009551098376308"/>
          <c:w val="0.72795095818502142"/>
          <c:h val="0.5801968879964503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Sheet3!$G$7:$G$16</c:f>
              <c:numCache>
                <c:formatCode>0.0</c:formatCode>
                <c:ptCount val="10"/>
                <c:pt idx="0">
                  <c:v>298.95</c:v>
                </c:pt>
                <c:pt idx="1">
                  <c:v>301.95</c:v>
                </c:pt>
                <c:pt idx="2">
                  <c:v>304.95</c:v>
                </c:pt>
                <c:pt idx="3">
                  <c:v>307.95</c:v>
                </c:pt>
                <c:pt idx="4">
                  <c:v>310.95</c:v>
                </c:pt>
                <c:pt idx="5">
                  <c:v>313.95</c:v>
                </c:pt>
                <c:pt idx="6">
                  <c:v>316.95</c:v>
                </c:pt>
                <c:pt idx="7">
                  <c:v>319.95</c:v>
                </c:pt>
                <c:pt idx="8">
                  <c:v>322.95</c:v>
                </c:pt>
                <c:pt idx="9">
                  <c:v>325.95</c:v>
                </c:pt>
              </c:numCache>
            </c:numRef>
          </c:xVal>
          <c:yVal>
            <c:numRef>
              <c:f>Sheet3!$F$7:$F$16</c:f>
              <c:numCache>
                <c:formatCode>General</c:formatCode>
                <c:ptCount val="10"/>
                <c:pt idx="0">
                  <c:v>2869.1077966899329</c:v>
                </c:pt>
                <c:pt idx="1">
                  <c:v>2590.0894770007835</c:v>
                </c:pt>
                <c:pt idx="2">
                  <c:v>2335.2536260398347</c:v>
                </c:pt>
                <c:pt idx="3">
                  <c:v>2102.3124355202322</c:v>
                </c:pt>
                <c:pt idx="4">
                  <c:v>1891.6291285557345</c:v>
                </c:pt>
                <c:pt idx="5">
                  <c:v>1710.9331020488316</c:v>
                </c:pt>
                <c:pt idx="6">
                  <c:v>1548.2569724407078</c:v>
                </c:pt>
                <c:pt idx="7">
                  <c:v>1401.0473251245105</c:v>
                </c:pt>
                <c:pt idx="8">
                  <c:v>1269.1724626058399</c:v>
                </c:pt>
                <c:pt idx="9">
                  <c:v>1151.8232070432298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AB-4B13-BB0C-50E49BAEB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302192"/>
        <c:axId val="2021302672"/>
      </c:scatterChart>
      <c:valAx>
        <c:axId val="202130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altLang="zh-CN" sz="1100" i="1"/>
                  <a:t>T</a:t>
                </a:r>
                <a:r>
                  <a:rPr lang="en-US" altLang="zh-CN" sz="1100"/>
                  <a:t> / K</a:t>
                </a:r>
                <a:endParaRPr lang="zh-CN" alt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#,##0.0_);[Red]\(#,##0.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2021302672"/>
        <c:crosses val="autoZero"/>
        <c:crossBetween val="midCat"/>
      </c:valAx>
      <c:valAx>
        <c:axId val="2021302672"/>
        <c:scaling>
          <c:orientation val="minMax"/>
          <c:max val="30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altLang="zh-CN" sz="1100" i="1"/>
                  <a:t>R</a:t>
                </a:r>
                <a:r>
                  <a:rPr lang="en-US" altLang="zh-CN" sz="1100" i="1" baseline="-25000"/>
                  <a:t>T</a:t>
                </a:r>
                <a:r>
                  <a:rPr lang="en-US" altLang="zh-CN" sz="1100"/>
                  <a:t> / Ω</a:t>
                </a:r>
                <a:endParaRPr lang="zh-CN" alt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#,##0.0_);[Red]\(#,##0.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2021302192"/>
        <c:crosses val="autoZero"/>
        <c:crossBetween val="midCat"/>
        <c:majorUnit val="2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ea typeface="宋体" panose="02010600030101010101" pitchFamily="2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r>
              <a:rPr lang="zh-CN" altLang="en-US" sz="13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图</a:t>
            </a:r>
            <a:r>
              <a:rPr lang="en-US" altLang="zh-CN" sz="13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3   </a:t>
            </a:r>
            <a:r>
              <a:rPr lang="zh-CN" altLang="en-US" sz="13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热敏电阻温度特性曲线</a:t>
            </a:r>
            <a:r>
              <a:rPr lang="zh-CN" altLang="en-US" sz="1300">
                <a:latin typeface="楷体_GB2312" panose="02010609030101010101" pitchFamily="49" charset="-122"/>
                <a:ea typeface="楷体_GB2312" panose="02010609030101010101" pitchFamily="49" charset="-122"/>
                <a:cs typeface="Times New Roman" panose="02020603050405020304" pitchFamily="18" charset="0"/>
              </a:rPr>
              <a:t>（</a:t>
            </a:r>
            <a:r>
              <a:rPr lang="en-US" altLang="zh-CN" sz="1300">
                <a:latin typeface="Times New Roman" panose="02020603050405020304" pitchFamily="18" charset="0"/>
                <a:ea typeface="楷体_GB2312" panose="02010609030101010101" pitchFamily="49" charset="-122"/>
                <a:cs typeface="Times New Roman" panose="02020603050405020304" pitchFamily="18" charset="0"/>
              </a:rPr>
              <a:t>ln</a:t>
            </a:r>
            <a:r>
              <a:rPr lang="en-US" altLang="zh-CN" sz="1300" i="1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R</a:t>
            </a:r>
            <a:r>
              <a:rPr lang="en-US" altLang="zh-CN" sz="1300" i="1" baseline="-250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T</a:t>
            </a:r>
            <a:r>
              <a:rPr lang="zh-CN" altLang="en-US" sz="13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－</a:t>
            </a:r>
            <a:r>
              <a:rPr lang="en-US" altLang="zh-CN" sz="13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1/</a:t>
            </a:r>
            <a:r>
              <a:rPr lang="en-US" altLang="zh-CN" sz="1300" i="1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T</a:t>
            </a:r>
            <a:r>
              <a:rPr lang="zh-CN" altLang="en-US" sz="13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曲线</a:t>
            </a:r>
            <a:r>
              <a:rPr lang="zh-CN" altLang="en-US" sz="1300">
                <a:latin typeface="楷体_GB2312" panose="02010609030101010101" pitchFamily="49" charset="-122"/>
                <a:ea typeface="楷体_GB2312" panose="02010609030101010101" pitchFamily="49" charset="-122"/>
                <a:cs typeface="Times New Roman" panose="02020603050405020304" pitchFamily="18" charset="0"/>
              </a:rPr>
              <a:t>）</a:t>
            </a:r>
            <a:endParaRPr lang="zh-CN" altLang="zh-CN" sz="1300">
              <a:latin typeface="楷体_GB2312" panose="02010609030101010101" pitchFamily="49" charset="-122"/>
              <a:ea typeface="楷体_GB2312" panose="02010609030101010101" pitchFamily="49" charset="-122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4005414831574473"/>
          <c:y val="4.93519647405025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6978824658891548"/>
          <c:y val="0.18610772445158844"/>
          <c:w val="0.76901378236843276"/>
          <c:h val="0.5537370184852153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7488411634920959E-2"/>
                  <c:y val="0.221460622062960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宋体" panose="02010600030101010101" pitchFamily="2" charset="-122"/>
                      <a:cs typeface="Times New Roman" panose="02020603050405020304" pitchFamily="18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Sheet3!$H$7:$H$16</c:f>
              <c:numCache>
                <c:formatCode>0.00000E+00</c:formatCode>
                <c:ptCount val="10"/>
                <c:pt idx="0">
                  <c:v>3.3450409767519654E-3</c:v>
                </c:pt>
                <c:pt idx="1">
                  <c:v>3.3118065904951151E-3</c:v>
                </c:pt>
                <c:pt idx="2">
                  <c:v>3.279226102639777E-3</c:v>
                </c:pt>
                <c:pt idx="3">
                  <c:v>3.2472804026627698E-3</c:v>
                </c:pt>
                <c:pt idx="4">
                  <c:v>3.2159511175430134E-3</c:v>
                </c:pt>
                <c:pt idx="5">
                  <c:v>3.1852205765249245E-3</c:v>
                </c:pt>
                <c:pt idx="6">
                  <c:v>3.155071777882947E-3</c:v>
                </c:pt>
                <c:pt idx="7">
                  <c:v>3.1254883575558682E-3</c:v>
                </c:pt>
                <c:pt idx="8">
                  <c:v>3.0964545595293389E-3</c:v>
                </c:pt>
                <c:pt idx="9">
                  <c:v>3.0679552078539656E-3</c:v>
                </c:pt>
              </c:numCache>
            </c:numRef>
          </c:xVal>
          <c:yVal>
            <c:numRef>
              <c:f>Sheet3!$I$7:$I$16</c:f>
              <c:numCache>
                <c:formatCode>General</c:formatCode>
                <c:ptCount val="10"/>
                <c:pt idx="0">
                  <c:v>7.9617563881894045</c:v>
                </c:pt>
                <c:pt idx="1">
                  <c:v>7.8594477012013959</c:v>
                </c:pt>
                <c:pt idx="2">
                  <c:v>7.7558757834933587</c:v>
                </c:pt>
                <c:pt idx="3">
                  <c:v>7.6507931776513365</c:v>
                </c:pt>
                <c:pt idx="4">
                  <c:v>7.5451937095493058</c:v>
                </c:pt>
                <c:pt idx="5">
                  <c:v>7.4447941743837101</c:v>
                </c:pt>
                <c:pt idx="6">
                  <c:v>7.344885043241395</c:v>
                </c:pt>
                <c:pt idx="7">
                  <c:v>7.2449753252986184</c:v>
                </c:pt>
                <c:pt idx="8">
                  <c:v>7.1461203628189534</c:v>
                </c:pt>
                <c:pt idx="9">
                  <c:v>7.0491013633704007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D4-4273-AC59-78FA623F6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302192"/>
        <c:axId val="2021302672"/>
      </c:scatterChart>
      <c:valAx>
        <c:axId val="202130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altLang="zh-CN" sz="1100" i="0"/>
                  <a:t>1/</a:t>
                </a:r>
                <a:r>
                  <a:rPr lang="en-US" altLang="zh-CN" sz="1100" i="1"/>
                  <a:t>T </a:t>
                </a:r>
                <a:r>
                  <a:rPr lang="en-US" altLang="zh-CN" sz="1100"/>
                  <a:t> /  K</a:t>
                </a:r>
                <a:r>
                  <a:rPr lang="en-US" altLang="zh-CN" sz="1100" baseline="30000"/>
                  <a:t>-1</a:t>
                </a:r>
                <a:endParaRPr lang="zh-CN" altLang="en-US" sz="1100" baseline="30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12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2021302672"/>
        <c:crosses val="autoZero"/>
        <c:crossBetween val="midCat"/>
        <c:majorUnit val="5.0000000000000023E-5"/>
      </c:valAx>
      <c:valAx>
        <c:axId val="202130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altLang="zh-CN" sz="1100" b="0" i="0"/>
                  <a:t>ln </a:t>
                </a:r>
                <a:r>
                  <a:rPr lang="en-US" altLang="zh-CN" sz="1100" i="1"/>
                  <a:t>R</a:t>
                </a:r>
                <a:r>
                  <a:rPr lang="en-US" altLang="zh-CN" sz="1100" i="1" baseline="-25000"/>
                  <a:t>T</a:t>
                </a:r>
                <a:r>
                  <a:rPr lang="en-US" altLang="zh-CN" sz="1100"/>
                  <a:t> </a:t>
                </a:r>
                <a:endParaRPr lang="zh-CN" alt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#,##0.00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2021302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ea typeface="宋体" panose="02010600030101010101" pitchFamily="2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r>
              <a:rPr lang="zh-CN" altLang="en-US" sz="13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图</a:t>
            </a:r>
            <a:r>
              <a:rPr lang="en-US" altLang="zh-CN" sz="13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2   </a:t>
            </a:r>
            <a:r>
              <a:rPr lang="zh-CN" altLang="en-US" sz="13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热敏电阻温度特性曲线</a:t>
            </a:r>
            <a:r>
              <a:rPr lang="zh-CN" altLang="en-US" sz="1300">
                <a:latin typeface="楷体_GB2312" panose="02010609030101010101" pitchFamily="49" charset="-122"/>
                <a:ea typeface="楷体_GB2312" panose="02010609030101010101" pitchFamily="49" charset="-122"/>
                <a:cs typeface="Times New Roman" panose="02020603050405020304" pitchFamily="18" charset="0"/>
              </a:rPr>
              <a:t>（</a:t>
            </a:r>
            <a:r>
              <a:rPr lang="en-US" altLang="zh-CN" sz="1300" i="1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R</a:t>
            </a:r>
            <a:r>
              <a:rPr lang="en-US" altLang="zh-CN" sz="1300" i="1" baseline="-250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T</a:t>
            </a:r>
            <a:r>
              <a:rPr lang="zh-CN" altLang="en-US" sz="13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－</a:t>
            </a:r>
            <a:r>
              <a:rPr lang="en-US" altLang="zh-CN" sz="1300" i="1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T</a:t>
            </a:r>
            <a:r>
              <a:rPr lang="zh-CN" altLang="en-US" sz="13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曲线</a:t>
            </a:r>
            <a:r>
              <a:rPr lang="zh-CN" altLang="en-US" sz="1300">
                <a:latin typeface="楷体_GB2312" panose="02010609030101010101" pitchFamily="49" charset="-122"/>
                <a:ea typeface="楷体_GB2312" panose="02010609030101010101" pitchFamily="49" charset="-122"/>
                <a:cs typeface="Times New Roman" panose="02020603050405020304" pitchFamily="18" charset="0"/>
              </a:rPr>
              <a:t>）</a:t>
            </a:r>
            <a:endParaRPr lang="zh-CN" sz="1300">
              <a:latin typeface="楷体_GB2312" panose="02010609030101010101" pitchFamily="49" charset="-122"/>
              <a:ea typeface="楷体_GB2312" panose="02010609030101010101" pitchFamily="49" charset="-122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5517496314672993"/>
          <c:y val="5.0200798682399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20319926832776039"/>
          <c:y val="0.20009551098376308"/>
          <c:w val="0.72795095818502142"/>
          <c:h val="0.5801968879964503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三理论备用!$D$4:$D$12</c:f>
              <c:numCache>
                <c:formatCode>0.0</c:formatCode>
                <c:ptCount val="9"/>
                <c:pt idx="0">
                  <c:v>298.14999999999998</c:v>
                </c:pt>
                <c:pt idx="1">
                  <c:v>303.14999999999998</c:v>
                </c:pt>
                <c:pt idx="2">
                  <c:v>308.14999999999998</c:v>
                </c:pt>
                <c:pt idx="3">
                  <c:v>313.14999999999998</c:v>
                </c:pt>
                <c:pt idx="4">
                  <c:v>318.14999999999998</c:v>
                </c:pt>
                <c:pt idx="5">
                  <c:v>323.14999999999998</c:v>
                </c:pt>
                <c:pt idx="6">
                  <c:v>328.15</c:v>
                </c:pt>
                <c:pt idx="7">
                  <c:v>333.15</c:v>
                </c:pt>
                <c:pt idx="8">
                  <c:v>338.15</c:v>
                </c:pt>
              </c:numCache>
            </c:numRef>
          </c:xVal>
          <c:yVal>
            <c:numRef>
              <c:f>三理论备用!$C$4:$C$12</c:f>
              <c:numCache>
                <c:formatCode>General</c:formatCode>
                <c:ptCount val="9"/>
                <c:pt idx="0">
                  <c:v>2700</c:v>
                </c:pt>
                <c:pt idx="1">
                  <c:v>2225</c:v>
                </c:pt>
                <c:pt idx="2">
                  <c:v>1870</c:v>
                </c:pt>
                <c:pt idx="3">
                  <c:v>1573</c:v>
                </c:pt>
                <c:pt idx="4">
                  <c:v>1341</c:v>
                </c:pt>
                <c:pt idx="5">
                  <c:v>1160</c:v>
                </c:pt>
                <c:pt idx="6">
                  <c:v>1000</c:v>
                </c:pt>
                <c:pt idx="7">
                  <c:v>868</c:v>
                </c:pt>
                <c:pt idx="8">
                  <c:v>748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8B-4564-B4C4-9621CA3BB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302192"/>
        <c:axId val="2021302672"/>
      </c:scatterChart>
      <c:valAx>
        <c:axId val="2021302192"/>
        <c:scaling>
          <c:orientation val="minMax"/>
          <c:max val="3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altLang="zh-CN" sz="1100" i="1"/>
                  <a:t>T</a:t>
                </a:r>
                <a:r>
                  <a:rPr lang="en-US" altLang="zh-CN" sz="1100"/>
                  <a:t> / K</a:t>
                </a:r>
                <a:endParaRPr lang="zh-CN" alt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#,##0.0_);[Red]\(#,##0.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2021302672"/>
        <c:crosses val="autoZero"/>
        <c:crossBetween val="midCat"/>
        <c:majorUnit val="5"/>
      </c:valAx>
      <c:valAx>
        <c:axId val="2021302672"/>
        <c:scaling>
          <c:orientation val="minMax"/>
          <c:max val="275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altLang="zh-CN" sz="1100" i="1"/>
                  <a:t>R</a:t>
                </a:r>
                <a:r>
                  <a:rPr lang="en-US" altLang="zh-CN" sz="1100" i="1" baseline="-25000"/>
                  <a:t>T</a:t>
                </a:r>
                <a:r>
                  <a:rPr lang="en-US" altLang="zh-CN" sz="1100"/>
                  <a:t> / Ω</a:t>
                </a:r>
                <a:endParaRPr lang="zh-CN" alt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#,##0.0_);[Red]\(#,##0.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2021302192"/>
        <c:crosses val="autoZero"/>
        <c:crossBetween val="midCat"/>
        <c:majorUnit val="2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ea typeface="宋体" panose="02010600030101010101" pitchFamily="2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defRPr>
            </a:pPr>
            <a:r>
              <a:rPr lang="zh-CN" altLang="en-US" sz="13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图</a:t>
            </a:r>
            <a:r>
              <a:rPr lang="en-US" altLang="zh-CN" sz="13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3   </a:t>
            </a:r>
            <a:r>
              <a:rPr lang="zh-CN" altLang="en-US" sz="13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热敏电阻温度特性曲线</a:t>
            </a:r>
            <a:r>
              <a:rPr lang="zh-CN" altLang="en-US" sz="1300">
                <a:latin typeface="楷体_GB2312" panose="02010609030101010101" pitchFamily="49" charset="-122"/>
                <a:ea typeface="楷体_GB2312" panose="02010609030101010101" pitchFamily="49" charset="-122"/>
                <a:cs typeface="Times New Roman" panose="02020603050405020304" pitchFamily="18" charset="0"/>
              </a:rPr>
              <a:t>（</a:t>
            </a:r>
            <a:r>
              <a:rPr lang="en-US" altLang="zh-CN" sz="1300">
                <a:latin typeface="Times New Roman" panose="02020603050405020304" pitchFamily="18" charset="0"/>
                <a:ea typeface="楷体_GB2312" panose="02010609030101010101" pitchFamily="49" charset="-122"/>
                <a:cs typeface="Times New Roman" panose="02020603050405020304" pitchFamily="18" charset="0"/>
              </a:rPr>
              <a:t>ln</a:t>
            </a:r>
            <a:r>
              <a:rPr lang="en-US" altLang="zh-CN" sz="1300" i="1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R</a:t>
            </a:r>
            <a:r>
              <a:rPr lang="en-US" altLang="zh-CN" sz="1300" i="1" baseline="-250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T</a:t>
            </a:r>
            <a:r>
              <a:rPr lang="zh-CN" altLang="en-US" sz="13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－</a:t>
            </a:r>
            <a:r>
              <a:rPr lang="en-US" altLang="zh-CN" sz="13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1/</a:t>
            </a:r>
            <a:r>
              <a:rPr lang="en-US" altLang="zh-CN" sz="1300" i="1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T</a:t>
            </a:r>
            <a:r>
              <a:rPr lang="zh-CN" altLang="en-US" sz="1300">
                <a:latin typeface="Times New Roman" panose="02020603050405020304" pitchFamily="18" charset="0"/>
                <a:ea typeface="楷体" panose="02010609060101010101" pitchFamily="49" charset="-122"/>
                <a:cs typeface="Times New Roman" panose="02020603050405020304" pitchFamily="18" charset="0"/>
              </a:rPr>
              <a:t>曲线</a:t>
            </a:r>
            <a:r>
              <a:rPr lang="zh-CN" altLang="en-US" sz="1300">
                <a:latin typeface="楷体_GB2312" panose="02010609030101010101" pitchFamily="49" charset="-122"/>
                <a:ea typeface="楷体_GB2312" panose="02010609030101010101" pitchFamily="49" charset="-122"/>
                <a:cs typeface="Times New Roman" panose="02020603050405020304" pitchFamily="18" charset="0"/>
              </a:rPr>
              <a:t>）</a:t>
            </a:r>
            <a:endParaRPr lang="zh-CN" altLang="zh-CN" sz="1300">
              <a:latin typeface="楷体_GB2312" panose="02010609030101010101" pitchFamily="49" charset="-122"/>
              <a:ea typeface="楷体_GB2312" panose="02010609030101010101" pitchFamily="49" charset="-122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4005414831574473"/>
          <c:y val="4.93519647405025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楷体" panose="02010609060101010101" pitchFamily="49" charset="-122"/>
              <a:cs typeface="Times New Roman" panose="02020603050405020304" pitchFamily="18" charset="0"/>
            </a:defRPr>
          </a:pPr>
          <a:endParaRPr lang="zh-CN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6978824658891548"/>
          <c:y val="0.18610772445158844"/>
          <c:w val="0.76901378236843276"/>
          <c:h val="0.5537370184852153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7488411634920959E-2"/>
                  <c:y val="0.221460622062960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宋体" panose="02010600030101010101" pitchFamily="2" charset="-122"/>
                      <a:cs typeface="Times New Roman" panose="02020603050405020304" pitchFamily="18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三理论备用!$E$4:$E$12</c:f>
              <c:numCache>
                <c:formatCode>0.00000E+00</c:formatCode>
                <c:ptCount val="9"/>
                <c:pt idx="0">
                  <c:v>3.3540164346805303E-3</c:v>
                </c:pt>
                <c:pt idx="1">
                  <c:v>3.298697014679202E-3</c:v>
                </c:pt>
                <c:pt idx="2">
                  <c:v>3.2451728054518907E-3</c:v>
                </c:pt>
                <c:pt idx="3">
                  <c:v>3.1933578157432542E-3</c:v>
                </c:pt>
                <c:pt idx="4">
                  <c:v>3.1431714600031434E-3</c:v>
                </c:pt>
                <c:pt idx="5">
                  <c:v>3.0945381401825778E-3</c:v>
                </c:pt>
                <c:pt idx="6">
                  <c:v>3.0473868657626088E-3</c:v>
                </c:pt>
                <c:pt idx="7">
                  <c:v>3.0016509079993999E-3</c:v>
                </c:pt>
                <c:pt idx="8">
                  <c:v>2.9572674848440043E-3</c:v>
                </c:pt>
              </c:numCache>
            </c:numRef>
          </c:xVal>
          <c:yVal>
            <c:numRef>
              <c:f>三理论备用!$F$4:$F$12</c:f>
              <c:numCache>
                <c:formatCode>General</c:formatCode>
                <c:ptCount val="9"/>
                <c:pt idx="0">
                  <c:v>7.90100705199242</c:v>
                </c:pt>
                <c:pt idx="1">
                  <c:v>7.7075121946003406</c:v>
                </c:pt>
                <c:pt idx="2">
                  <c:v>7.5336937098486327</c:v>
                </c:pt>
                <c:pt idx="3">
                  <c:v>7.3607399030582776</c:v>
                </c:pt>
                <c:pt idx="4">
                  <c:v>7.2011708832816783</c:v>
                </c:pt>
                <c:pt idx="5">
                  <c:v>7.0561752841004104</c:v>
                </c:pt>
                <c:pt idx="6">
                  <c:v>6.9077552789821368</c:v>
                </c:pt>
                <c:pt idx="7">
                  <c:v>6.7661917146603505</c:v>
                </c:pt>
                <c:pt idx="8">
                  <c:v>6.6174029779744776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02-4DDF-B188-B169DFC36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302192"/>
        <c:axId val="2021302672"/>
      </c:scatterChart>
      <c:valAx>
        <c:axId val="202130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altLang="zh-CN" sz="1100" i="0"/>
                  <a:t>1/</a:t>
                </a:r>
                <a:r>
                  <a:rPr lang="en-US" altLang="zh-CN" sz="1100" i="1"/>
                  <a:t>T </a:t>
                </a:r>
                <a:r>
                  <a:rPr lang="en-US" altLang="zh-CN" sz="1100"/>
                  <a:t> /  K</a:t>
                </a:r>
                <a:r>
                  <a:rPr lang="en-US" altLang="zh-CN" sz="1100" baseline="30000"/>
                  <a:t>-1</a:t>
                </a:r>
                <a:endParaRPr lang="zh-CN" altLang="en-US" sz="1100" baseline="30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12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2021302672"/>
        <c:crosses val="autoZero"/>
        <c:crossBetween val="midCat"/>
        <c:majorUnit val="5.0000000000000023E-5"/>
      </c:valAx>
      <c:valAx>
        <c:axId val="202130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altLang="zh-CN" sz="1100" b="0" i="0"/>
                  <a:t>ln </a:t>
                </a:r>
                <a:r>
                  <a:rPr lang="en-US" altLang="zh-CN" sz="1100" i="1"/>
                  <a:t>R</a:t>
                </a:r>
                <a:r>
                  <a:rPr lang="en-US" altLang="zh-CN" sz="1100" i="1" baseline="-25000"/>
                  <a:t>T</a:t>
                </a:r>
                <a:r>
                  <a:rPr lang="en-US" altLang="zh-CN" sz="1100"/>
                  <a:t> </a:t>
                </a:r>
                <a:endParaRPr lang="zh-CN" alt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#,##0.00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2021302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ea typeface="宋体" panose="02010600030101010101" pitchFamily="2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106680</xdr:colOff>
      <xdr:row>2</xdr:row>
      <xdr:rowOff>114300</xdr:rowOff>
    </xdr:from>
    <xdr:to>
      <xdr:col>10</xdr:col>
      <xdr:colOff>66172</xdr:colOff>
      <xdr:row>7</xdr:row>
      <xdr:rowOff>22860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E885BB8-B514-EFAD-B847-D5E440D77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16880" y="480060"/>
          <a:ext cx="1178692" cy="82296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8</xdr:col>
      <xdr:colOff>114300</xdr:colOff>
      <xdr:row>9</xdr:row>
      <xdr:rowOff>160020</xdr:rowOff>
    </xdr:from>
    <xdr:to>
      <xdr:col>19</xdr:col>
      <xdr:colOff>121920</xdr:colOff>
      <xdr:row>17</xdr:row>
      <xdr:rowOff>48000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573AAC0-8750-DC9E-A4C8-3B0636535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1805940"/>
          <a:ext cx="6713220" cy="142722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270510</xdr:colOff>
      <xdr:row>1</xdr:row>
      <xdr:rowOff>106680</xdr:rowOff>
    </xdr:from>
    <xdr:to>
      <xdr:col>18</xdr:col>
      <xdr:colOff>449580</xdr:colOff>
      <xdr:row>15</xdr:row>
      <xdr:rowOff>83820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024F7D9-DC01-F33D-F7B7-CB9774841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335280</xdr:colOff>
      <xdr:row>16</xdr:row>
      <xdr:rowOff>83820</xdr:rowOff>
    </xdr:from>
    <xdr:to>
      <xdr:col>18</xdr:col>
      <xdr:colOff>514350</xdr:colOff>
      <xdr:row>31</xdr:row>
      <xdr:rowOff>38100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91D0C0B-F307-4BBD-A705-9F8C4A5C9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175260</xdr:colOff>
      <xdr:row>28</xdr:row>
      <xdr:rowOff>118544</xdr:rowOff>
    </xdr:from>
    <xdr:to>
      <xdr:col>11</xdr:col>
      <xdr:colOff>114300</xdr:colOff>
      <xdr:row>31</xdr:row>
      <xdr:rowOff>17130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923A3BF-C5F2-285F-67FE-DC7242B47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88920" y="5277284"/>
          <a:ext cx="4930140" cy="44722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</xdr:colOff>
      <xdr:row>0</xdr:row>
      <xdr:rowOff>121920</xdr:rowOff>
    </xdr:from>
    <xdr:to>
      <xdr:col>19</xdr:col>
      <xdr:colOff>312420</xdr:colOff>
      <xdr:row>15</xdr:row>
      <xdr:rowOff>144780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DE20603-BE04-4D4C-A583-4808E5E435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14655</xdr:colOff>
      <xdr:row>16</xdr:row>
      <xdr:rowOff>74442</xdr:rowOff>
    </xdr:from>
    <xdr:to>
      <xdr:col>19</xdr:col>
      <xdr:colOff>297181</xdr:colOff>
      <xdr:row>32</xdr:row>
      <xdr:rowOff>7620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D16127E-239D-4716-AAD4-6F380CD287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38100</xdr:colOff>
      <xdr:row>27</xdr:row>
      <xdr:rowOff>21222</xdr:rowOff>
    </xdr:from>
    <xdr:to>
      <xdr:col>10</xdr:col>
      <xdr:colOff>144780</xdr:colOff>
      <xdr:row>30</xdr:row>
      <xdr:rowOff>63596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22E9A6CE-2345-EDA8-E70E-E595B7DAD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3400" y="4958982"/>
          <a:ext cx="6278880" cy="59101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</xdr:colOff>
      <xdr:row>17</xdr:row>
      <xdr:rowOff>167640</xdr:rowOff>
    </xdr:from>
    <xdr:to>
      <xdr:col>10</xdr:col>
      <xdr:colOff>243840</xdr:colOff>
      <xdr:row>22</xdr:row>
      <xdr:rowOff>78923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DE2A714-B052-BF50-5D90-95946C01D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3276600"/>
          <a:ext cx="6423660" cy="82568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</xdr:colOff>
      <xdr:row>0</xdr:row>
      <xdr:rowOff>121920</xdr:rowOff>
    </xdr:from>
    <xdr:to>
      <xdr:col>19</xdr:col>
      <xdr:colOff>312420</xdr:colOff>
      <xdr:row>15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FF2A836-33EA-46F5-8B05-E5B2835EDE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14655</xdr:colOff>
      <xdr:row>15</xdr:row>
      <xdr:rowOff>74442</xdr:rowOff>
    </xdr:from>
    <xdr:to>
      <xdr:col>19</xdr:col>
      <xdr:colOff>297181</xdr:colOff>
      <xdr:row>31</xdr:row>
      <xdr:rowOff>7620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C43A2BD-3DCF-4C9C-BDA3-9280A8F1C1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411480</xdr:colOff>
      <xdr:row>22</xdr:row>
      <xdr:rowOff>127902</xdr:rowOff>
    </xdr:from>
    <xdr:to>
      <xdr:col>9</xdr:col>
      <xdr:colOff>220980</xdr:colOff>
      <xdr:row>25</xdr:row>
      <xdr:rowOff>170276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181C2D9E-ADD4-49C1-9B9E-A74B1A365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1480" y="4151262"/>
          <a:ext cx="6278880" cy="59101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29EB2-D5AB-4AC0-8B8E-530638F70989}">
  <dimension ref="A1:E19"/>
  <sheetViews>
    <sheetView workbookViewId="0">
      <selection activeCell="B14" sqref="B14"/>
    </sheetView>
  </sheetViews>
  <sheetFormatPr defaultRowHeight="14.4" x14ac:dyDescent="0.25"/>
  <cols>
    <col min="1" max="1" width="13.88671875" bestFit="1" customWidth="1"/>
    <col min="4" max="4" width="11" bestFit="1" customWidth="1"/>
    <col min="5" max="5" width="9.5546875" bestFit="1" customWidth="1"/>
  </cols>
  <sheetData>
    <row r="1" spans="1:5" x14ac:dyDescent="0.25">
      <c r="A1" t="s">
        <v>78</v>
      </c>
      <c r="B1" s="10" t="s">
        <v>0</v>
      </c>
    </row>
    <row r="3" spans="1:5" x14ac:dyDescent="0.25">
      <c r="A3" t="s">
        <v>20</v>
      </c>
      <c r="B3" s="2">
        <v>17.100000000000001</v>
      </c>
      <c r="D3" t="s">
        <v>24</v>
      </c>
      <c r="E3">
        <v>50</v>
      </c>
    </row>
    <row r="4" spans="1:5" ht="14.4" customHeight="1" x14ac:dyDescent="0.25">
      <c r="A4" t="s">
        <v>21</v>
      </c>
      <c r="B4">
        <v>1</v>
      </c>
      <c r="D4" s="12" t="s">
        <v>10</v>
      </c>
      <c r="E4" s="13">
        <v>4.28E-3</v>
      </c>
    </row>
    <row r="5" spans="1:5" x14ac:dyDescent="0.25">
      <c r="A5" t="s">
        <v>23</v>
      </c>
      <c r="B5">
        <v>5000</v>
      </c>
    </row>
    <row r="6" spans="1:5" x14ac:dyDescent="0.25">
      <c r="A6" t="s">
        <v>22</v>
      </c>
      <c r="B6" s="1">
        <v>277</v>
      </c>
    </row>
    <row r="8" spans="1:5" x14ac:dyDescent="0.25">
      <c r="A8" t="s">
        <v>27</v>
      </c>
      <c r="B8" s="11">
        <f>B4*1000*B6/B5</f>
        <v>55.4</v>
      </c>
      <c r="D8" t="s">
        <v>26</v>
      </c>
      <c r="E8" s="11">
        <f>E3*(1+E4*B3)</f>
        <v>53.659400000000005</v>
      </c>
    </row>
    <row r="10" spans="1:5" x14ac:dyDescent="0.25">
      <c r="A10" t="s">
        <v>25</v>
      </c>
      <c r="B10" s="21">
        <f>(B8-E8)/(E8)</f>
        <v>3.2437932589630021E-2</v>
      </c>
    </row>
    <row r="14" spans="1:5" ht="20.399999999999999" x14ac:dyDescent="0.25">
      <c r="B14" s="41" t="s">
        <v>75</v>
      </c>
    </row>
    <row r="15" spans="1:5" x14ac:dyDescent="0.25">
      <c r="B15" s="29" t="s">
        <v>74</v>
      </c>
    </row>
    <row r="18" spans="2:3" x14ac:dyDescent="0.25">
      <c r="B18" s="39" t="s">
        <v>71</v>
      </c>
      <c r="C18" s="29" t="s">
        <v>72</v>
      </c>
    </row>
    <row r="19" spans="2:3" x14ac:dyDescent="0.25">
      <c r="B19" s="40" t="s">
        <v>73</v>
      </c>
      <c r="C19" s="29" t="s">
        <v>79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F7CE7-F469-4B64-96CB-FC6271E1C512}">
  <dimension ref="A1:T29"/>
  <sheetViews>
    <sheetView workbookViewId="0">
      <selection activeCell="T14" sqref="T14"/>
    </sheetView>
  </sheetViews>
  <sheetFormatPr defaultRowHeight="14.4" x14ac:dyDescent="0.25"/>
  <cols>
    <col min="2" max="2" width="9.5546875" bestFit="1" customWidth="1"/>
    <col min="4" max="4" width="10.77734375" customWidth="1"/>
    <col min="5" max="5" width="12.77734375" bestFit="1" customWidth="1"/>
    <col min="6" max="6" width="10.44140625" customWidth="1"/>
    <col min="7" max="7" width="12.77734375" bestFit="1" customWidth="1"/>
    <col min="8" max="8" width="10.109375" customWidth="1"/>
    <col min="20" max="20" width="9.77734375" bestFit="1" customWidth="1"/>
  </cols>
  <sheetData>
    <row r="1" spans="1:20" x14ac:dyDescent="0.25">
      <c r="A1" s="10" t="s">
        <v>1</v>
      </c>
    </row>
    <row r="3" spans="1:20" x14ac:dyDescent="0.25">
      <c r="A3" t="s">
        <v>4</v>
      </c>
      <c r="B3" s="3">
        <v>3</v>
      </c>
      <c r="C3" t="s">
        <v>9</v>
      </c>
      <c r="D3" s="23" t="s">
        <v>6</v>
      </c>
      <c r="E3">
        <v>1000</v>
      </c>
      <c r="F3" t="s">
        <v>8</v>
      </c>
      <c r="G3" s="23" t="s">
        <v>7</v>
      </c>
      <c r="H3" s="1">
        <v>56.9</v>
      </c>
      <c r="I3" t="s">
        <v>8</v>
      </c>
    </row>
    <row r="4" spans="1:20" x14ac:dyDescent="0.25">
      <c r="A4" t="s">
        <v>5</v>
      </c>
      <c r="B4">
        <v>1</v>
      </c>
      <c r="C4" t="s">
        <v>15</v>
      </c>
      <c r="D4">
        <v>1000</v>
      </c>
      <c r="E4" t="s">
        <v>8</v>
      </c>
      <c r="F4" s="22" t="s">
        <v>31</v>
      </c>
    </row>
    <row r="6" spans="1:20" ht="17.399999999999999" customHeight="1" x14ac:dyDescent="0.25">
      <c r="A6" s="5" t="s">
        <v>3</v>
      </c>
      <c r="B6" s="5" t="s">
        <v>34</v>
      </c>
      <c r="C6" s="5" t="s">
        <v>18</v>
      </c>
      <c r="D6" s="9" t="s">
        <v>13</v>
      </c>
      <c r="E6" s="9" t="s">
        <v>16</v>
      </c>
      <c r="F6" s="9" t="s">
        <v>14</v>
      </c>
      <c r="G6" s="5" t="s">
        <v>17</v>
      </c>
      <c r="H6" s="24" t="s">
        <v>43</v>
      </c>
      <c r="I6" t="s">
        <v>44</v>
      </c>
      <c r="J6" t="s">
        <v>77</v>
      </c>
      <c r="T6" s="52" t="s">
        <v>52</v>
      </c>
    </row>
    <row r="7" spans="1:20" ht="14.4" customHeight="1" x14ac:dyDescent="0.25">
      <c r="A7" s="5">
        <v>1</v>
      </c>
      <c r="B7" s="6">
        <v>19.899999999999999</v>
      </c>
      <c r="C7" s="7">
        <v>0.52</v>
      </c>
      <c r="D7" s="5">
        <f t="shared" ref="D7:D16" si="0">4*$H$3*C7/($B$3*1000)</f>
        <v>3.9450666666666669E-2</v>
      </c>
      <c r="E7" s="8">
        <f t="shared" ref="E7:E16" si="1">$H$3+D7</f>
        <v>56.939450666666666</v>
      </c>
      <c r="F7" s="5">
        <f t="shared" ref="F7:F16" si="2">4*$H$3*(C7/1000)/($B$3-2*(C7/1000))</f>
        <v>3.9464347640515388E-2</v>
      </c>
      <c r="G7" s="42">
        <f t="shared" ref="G7:G16" si="3">$H$3+F7</f>
        <v>56.939464347640516</v>
      </c>
      <c r="H7">
        <f>E7*B7</f>
        <v>1133.0950682666667</v>
      </c>
      <c r="I7">
        <f>B7*G7</f>
        <v>1133.0953405180462</v>
      </c>
      <c r="J7">
        <f>B7^2</f>
        <v>396.00999999999993</v>
      </c>
      <c r="T7" s="52"/>
    </row>
    <row r="8" spans="1:20" ht="14.4" customHeight="1" x14ac:dyDescent="0.25">
      <c r="A8" s="5">
        <v>2</v>
      </c>
      <c r="B8" s="6">
        <v>22.9</v>
      </c>
      <c r="C8" s="7">
        <v>9.16</v>
      </c>
      <c r="D8" s="5">
        <f t="shared" si="0"/>
        <v>0.69493866666666659</v>
      </c>
      <c r="E8" s="8">
        <f t="shared" si="1"/>
        <v>57.594938666666664</v>
      </c>
      <c r="F8" s="5">
        <f t="shared" si="2"/>
        <v>0.69920849990609324</v>
      </c>
      <c r="G8" s="42">
        <f t="shared" si="3"/>
        <v>57.599208499906091</v>
      </c>
      <c r="H8">
        <f t="shared" ref="H8:H16" si="4">E8*B8</f>
        <v>1318.9240954666666</v>
      </c>
      <c r="I8">
        <f t="shared" ref="I8:I16" si="5">B8*G8</f>
        <v>1319.0218746478495</v>
      </c>
      <c r="J8">
        <f t="shared" ref="J8:J16" si="6">B8^2</f>
        <v>524.41</v>
      </c>
      <c r="T8" s="52"/>
    </row>
    <row r="9" spans="1:20" ht="14.4" customHeight="1" x14ac:dyDescent="0.25">
      <c r="A9" s="5">
        <v>3</v>
      </c>
      <c r="B9" s="6">
        <v>25.9</v>
      </c>
      <c r="C9" s="7">
        <v>17.600000000000001</v>
      </c>
      <c r="D9" s="5">
        <f t="shared" si="0"/>
        <v>1.3352533333333334</v>
      </c>
      <c r="E9" s="8">
        <f t="shared" si="1"/>
        <v>58.235253333333333</v>
      </c>
      <c r="F9" s="5">
        <f t="shared" si="2"/>
        <v>1.3511063140852673</v>
      </c>
      <c r="G9" s="42">
        <f t="shared" si="3"/>
        <v>58.251106314085263</v>
      </c>
      <c r="H9">
        <f t="shared" si="4"/>
        <v>1508.2930613333333</v>
      </c>
      <c r="I9">
        <f t="shared" si="5"/>
        <v>1508.7036535348082</v>
      </c>
      <c r="J9">
        <f t="shared" si="6"/>
        <v>670.81</v>
      </c>
      <c r="T9" s="52"/>
    </row>
    <row r="10" spans="1:20" x14ac:dyDescent="0.25">
      <c r="A10" s="5">
        <v>4</v>
      </c>
      <c r="B10" s="6">
        <v>28.9</v>
      </c>
      <c r="C10" s="7">
        <v>25.88</v>
      </c>
      <c r="D10" s="5">
        <f t="shared" si="0"/>
        <v>1.9634293333333332</v>
      </c>
      <c r="E10" s="8">
        <f t="shared" si="1"/>
        <v>58.863429333333329</v>
      </c>
      <c r="F10" s="5">
        <f t="shared" si="2"/>
        <v>1.9978997639269529</v>
      </c>
      <c r="G10" s="42">
        <f t="shared" si="3"/>
        <v>58.897899763926951</v>
      </c>
      <c r="H10">
        <f t="shared" si="4"/>
        <v>1701.1531077333332</v>
      </c>
      <c r="I10">
        <f t="shared" si="5"/>
        <v>1702.1493031774887</v>
      </c>
      <c r="J10">
        <f t="shared" si="6"/>
        <v>835.20999999999992</v>
      </c>
      <c r="T10" s="52"/>
    </row>
    <row r="11" spans="1:20" x14ac:dyDescent="0.25">
      <c r="A11" s="5">
        <v>5</v>
      </c>
      <c r="B11" s="6">
        <v>31.9</v>
      </c>
      <c r="C11" s="7">
        <v>34.42</v>
      </c>
      <c r="D11" s="5">
        <f t="shared" si="0"/>
        <v>2.6113306666666669</v>
      </c>
      <c r="E11" s="8">
        <f t="shared" si="1"/>
        <v>59.511330666666666</v>
      </c>
      <c r="F11" s="5">
        <f t="shared" si="2"/>
        <v>2.6726592884728229</v>
      </c>
      <c r="G11" s="42">
        <f t="shared" si="3"/>
        <v>59.572659288472821</v>
      </c>
      <c r="H11">
        <f t="shared" si="4"/>
        <v>1898.4114482666666</v>
      </c>
      <c r="I11">
        <f t="shared" si="5"/>
        <v>1900.3678313022829</v>
      </c>
      <c r="J11">
        <f t="shared" si="6"/>
        <v>1017.6099999999999</v>
      </c>
    </row>
    <row r="12" spans="1:20" x14ac:dyDescent="0.25">
      <c r="A12" s="5">
        <v>6</v>
      </c>
      <c r="B12" s="6">
        <v>34.9</v>
      </c>
      <c r="C12" s="7">
        <v>42.76</v>
      </c>
      <c r="D12" s="5">
        <f t="shared" si="0"/>
        <v>3.2440586666666666</v>
      </c>
      <c r="E12" s="8">
        <f t="shared" si="1"/>
        <v>60.144058666666666</v>
      </c>
      <c r="F12" s="5">
        <f t="shared" si="2"/>
        <v>3.3392495402267293</v>
      </c>
      <c r="G12" s="42">
        <f t="shared" si="3"/>
        <v>60.23924954022673</v>
      </c>
      <c r="H12">
        <f t="shared" si="4"/>
        <v>2099.0276474666666</v>
      </c>
      <c r="I12">
        <f t="shared" si="5"/>
        <v>2102.349808953913</v>
      </c>
      <c r="J12">
        <f t="shared" si="6"/>
        <v>1218.01</v>
      </c>
    </row>
    <row r="13" spans="1:20" x14ac:dyDescent="0.25">
      <c r="A13" s="5">
        <v>7</v>
      </c>
      <c r="B13" s="6">
        <v>37.9</v>
      </c>
      <c r="C13" s="7">
        <v>51.01</v>
      </c>
      <c r="D13" s="5">
        <f t="shared" si="0"/>
        <v>3.8699586666666663</v>
      </c>
      <c r="E13" s="8">
        <f t="shared" si="1"/>
        <v>60.769958666666668</v>
      </c>
      <c r="F13" s="5">
        <f t="shared" si="2"/>
        <v>4.0061960400002761</v>
      </c>
      <c r="G13" s="42">
        <f t="shared" si="3"/>
        <v>60.906196040000275</v>
      </c>
      <c r="H13">
        <f t="shared" si="4"/>
        <v>2303.1814334666665</v>
      </c>
      <c r="I13">
        <f t="shared" si="5"/>
        <v>2308.3448299160104</v>
      </c>
      <c r="J13">
        <f t="shared" si="6"/>
        <v>1436.4099999999999</v>
      </c>
    </row>
    <row r="14" spans="1:20" x14ac:dyDescent="0.25">
      <c r="A14" s="5">
        <v>8</v>
      </c>
      <c r="B14" s="6">
        <v>40.9</v>
      </c>
      <c r="C14" s="7">
        <v>59.23</v>
      </c>
      <c r="D14" s="5">
        <f t="shared" si="0"/>
        <v>4.4935826666666667</v>
      </c>
      <c r="E14" s="8">
        <f t="shared" si="1"/>
        <v>61.393582666666667</v>
      </c>
      <c r="F14" s="5">
        <f t="shared" si="2"/>
        <v>4.6783136794908273</v>
      </c>
      <c r="G14" s="42">
        <f t="shared" si="3"/>
        <v>61.578313679490826</v>
      </c>
      <c r="H14">
        <f t="shared" si="4"/>
        <v>2510.9975310666664</v>
      </c>
      <c r="I14">
        <f t="shared" si="5"/>
        <v>2518.5530294911746</v>
      </c>
      <c r="J14">
        <f t="shared" si="6"/>
        <v>1672.81</v>
      </c>
    </row>
    <row r="15" spans="1:20" x14ac:dyDescent="0.25">
      <c r="A15" s="5">
        <v>9</v>
      </c>
      <c r="B15" s="6">
        <v>43.9</v>
      </c>
      <c r="C15" s="7">
        <v>67.45</v>
      </c>
      <c r="D15" s="5">
        <f t="shared" si="0"/>
        <v>5.1172066666666671</v>
      </c>
      <c r="E15" s="8">
        <f t="shared" si="1"/>
        <v>62.017206666666667</v>
      </c>
      <c r="F15" s="5">
        <f t="shared" si="2"/>
        <v>5.3581445673798465</v>
      </c>
      <c r="G15" s="42">
        <f t="shared" si="3"/>
        <v>62.258144567379844</v>
      </c>
      <c r="H15">
        <f t="shared" si="4"/>
        <v>2722.5553726666667</v>
      </c>
      <c r="I15">
        <f t="shared" si="5"/>
        <v>2733.1325465079749</v>
      </c>
      <c r="J15">
        <f t="shared" si="6"/>
        <v>1927.2099999999998</v>
      </c>
    </row>
    <row r="16" spans="1:20" x14ac:dyDescent="0.25">
      <c r="A16" s="5">
        <v>10</v>
      </c>
      <c r="B16" s="6">
        <v>46.9</v>
      </c>
      <c r="C16" s="7">
        <v>75.64</v>
      </c>
      <c r="D16" s="5">
        <f t="shared" si="0"/>
        <v>5.7385546666666665</v>
      </c>
      <c r="E16" s="8">
        <f t="shared" si="1"/>
        <v>62.638554666666664</v>
      </c>
      <c r="F16" s="5">
        <f t="shared" si="2"/>
        <v>6.0432980426296723</v>
      </c>
      <c r="G16" s="42">
        <f t="shared" si="3"/>
        <v>62.943298042629671</v>
      </c>
      <c r="H16">
        <f t="shared" si="4"/>
        <v>2937.7482138666664</v>
      </c>
      <c r="I16">
        <f t="shared" si="5"/>
        <v>2952.0406781993315</v>
      </c>
      <c r="J16">
        <f t="shared" si="6"/>
        <v>2199.6099999999997</v>
      </c>
    </row>
    <row r="18" spans="1:20" s="4" customFormat="1" ht="14.4" customHeight="1" x14ac:dyDescent="0.25">
      <c r="A18" t="s">
        <v>28</v>
      </c>
      <c r="D18" s="14" t="s">
        <v>10</v>
      </c>
      <c r="E18" s="58">
        <f>SLOPE(E7:E16,B7:B16)/E21</f>
        <v>3.9966760077932177E-3</v>
      </c>
      <c r="F18" s="16" t="s">
        <v>10</v>
      </c>
      <c r="G18" s="60">
        <f>SLOPE(G7:G16,B7:B16)/G21</f>
        <v>4.2319831330456595E-3</v>
      </c>
    </row>
    <row r="19" spans="1:20" ht="14.4" customHeight="1" x14ac:dyDescent="0.25">
      <c r="A19" s="12" t="s">
        <v>10</v>
      </c>
      <c r="B19" s="13">
        <v>4.28E-3</v>
      </c>
      <c r="D19" s="15" t="s">
        <v>11</v>
      </c>
      <c r="E19" s="59"/>
      <c r="F19" s="17" t="s">
        <v>12</v>
      </c>
      <c r="G19" s="61"/>
    </row>
    <row r="20" spans="1:20" ht="14.4" customHeight="1" x14ac:dyDescent="0.25">
      <c r="B20" s="18"/>
      <c r="C20" s="19" t="s">
        <v>29</v>
      </c>
      <c r="D20" s="54">
        <f>ABS((E18-B19)/B19)</f>
        <v>6.6197194440836979E-2</v>
      </c>
      <c r="E20" s="62"/>
      <c r="F20" s="56">
        <f>ABS((G18-B19)/B19)</f>
        <v>1.121889414821039E-2</v>
      </c>
      <c r="G20" s="57"/>
    </row>
    <row r="21" spans="1:20" x14ac:dyDescent="0.25">
      <c r="D21" s="14" t="s">
        <v>19</v>
      </c>
      <c r="E21" s="58">
        <f>INTERCEPT(E7:E16,B7:B16)</f>
        <v>52.766967765925919</v>
      </c>
      <c r="F21" s="16" t="s">
        <v>19</v>
      </c>
      <c r="G21" s="60">
        <f>INTERCEPT(G7:G16,B7:B16)</f>
        <v>52.498047558713345</v>
      </c>
    </row>
    <row r="22" spans="1:20" ht="14.4" customHeight="1" x14ac:dyDescent="0.25">
      <c r="A22" s="12" t="s">
        <v>19</v>
      </c>
      <c r="B22">
        <v>50</v>
      </c>
      <c r="D22" s="15" t="s">
        <v>11</v>
      </c>
      <c r="E22" s="59"/>
      <c r="F22" s="17" t="s">
        <v>12</v>
      </c>
      <c r="G22" s="61"/>
      <c r="T22" s="53" t="s">
        <v>53</v>
      </c>
    </row>
    <row r="23" spans="1:20" ht="14.4" customHeight="1" x14ac:dyDescent="0.25">
      <c r="B23" s="20"/>
      <c r="C23" s="19" t="s">
        <v>30</v>
      </c>
      <c r="D23" s="54">
        <f>ABS((E21-B22)/B22)</f>
        <v>5.5339355318518385E-2</v>
      </c>
      <c r="E23" s="55"/>
      <c r="F23" s="56">
        <f>ABS((G21-B22)/B22)</f>
        <v>4.996095117426691E-2</v>
      </c>
      <c r="G23" s="57"/>
      <c r="T23" s="53"/>
    </row>
    <row r="24" spans="1:20" ht="14.4" customHeight="1" x14ac:dyDescent="0.25">
      <c r="T24" s="53"/>
    </row>
    <row r="25" spans="1:20" ht="14.4" customHeight="1" x14ac:dyDescent="0.25">
      <c r="C25" t="s">
        <v>11</v>
      </c>
      <c r="D25" t="s">
        <v>12</v>
      </c>
      <c r="G25" t="s">
        <v>11</v>
      </c>
      <c r="H25" t="s">
        <v>12</v>
      </c>
      <c r="T25" s="53"/>
    </row>
    <row r="26" spans="1:20" x14ac:dyDescent="0.25">
      <c r="B26" s="23" t="s">
        <v>39</v>
      </c>
      <c r="C26">
        <f>AVERAGE(B7:B16)</f>
        <v>33.4</v>
      </c>
      <c r="D26">
        <f>AVERAGE(B7:B16)</f>
        <v>33.4</v>
      </c>
      <c r="F26" s="23" t="s">
        <v>36</v>
      </c>
      <c r="G26">
        <f>SLOPE(E7:E16,B7:B16)</f>
        <v>0.21089247407407419</v>
      </c>
      <c r="H26">
        <f>SLOPE(G7:G16,B7:B16)</f>
        <v>0.22217085178630372</v>
      </c>
      <c r="T26" s="53"/>
    </row>
    <row r="27" spans="1:20" x14ac:dyDescent="0.25">
      <c r="B27" s="23" t="s">
        <v>40</v>
      </c>
      <c r="C27">
        <f>AVERAGE(E7:E16)</f>
        <v>59.810776399999995</v>
      </c>
      <c r="D27">
        <f>AVERAGE(G7:G16)</f>
        <v>59.918554008375892</v>
      </c>
      <c r="F27" s="23" t="s">
        <v>37</v>
      </c>
      <c r="G27">
        <f>INTERCEPT(E7:E16,B7:B16)</f>
        <v>52.766967765925919</v>
      </c>
      <c r="H27">
        <f>INTERCEPT(G7:G16,B7:B16)</f>
        <v>52.498047558713345</v>
      </c>
    </row>
    <row r="28" spans="1:20" x14ac:dyDescent="0.25">
      <c r="B28" s="23" t="s">
        <v>41</v>
      </c>
      <c r="C28">
        <f>AVERAGE(H7:H16)</f>
        <v>2013.33869796</v>
      </c>
      <c r="D28">
        <f>AVERAGE(I7:I16)</f>
        <v>2017.7758896248881</v>
      </c>
      <c r="F28" s="23" t="s">
        <v>38</v>
      </c>
      <c r="G28">
        <f>PEARSON(B7:B16,E7:E16)</f>
        <v>0.99997359777096562</v>
      </c>
      <c r="H28">
        <f>PEARSON(B7:B16,G7:G16)</f>
        <v>0.9999696123575853</v>
      </c>
    </row>
    <row r="29" spans="1:20" x14ac:dyDescent="0.25">
      <c r="B29" s="23" t="s">
        <v>76</v>
      </c>
      <c r="C29">
        <f>AVERAGE(J7:J16)</f>
        <v>1189.81</v>
      </c>
      <c r="D29">
        <f>AVERAGE(J7:J16)</f>
        <v>1189.81</v>
      </c>
    </row>
  </sheetData>
  <mergeCells count="10">
    <mergeCell ref="T6:T10"/>
    <mergeCell ref="T22:T26"/>
    <mergeCell ref="D23:E23"/>
    <mergeCell ref="F23:G23"/>
    <mergeCell ref="E18:E19"/>
    <mergeCell ref="G18:G19"/>
    <mergeCell ref="D20:E20"/>
    <mergeCell ref="F20:G20"/>
    <mergeCell ref="E21:E22"/>
    <mergeCell ref="G21:G22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C01D9-22BC-4A4E-947C-69A318B72CB4}">
  <dimension ref="A1:K29"/>
  <sheetViews>
    <sheetView zoomScaleNormal="100" workbookViewId="0">
      <selection activeCell="F33" sqref="F33"/>
    </sheetView>
  </sheetViews>
  <sheetFormatPr defaultRowHeight="14.4" x14ac:dyDescent="0.25"/>
  <cols>
    <col min="1" max="1" width="7.21875" customWidth="1"/>
    <col min="2" max="2" width="10.5546875" customWidth="1"/>
    <col min="3" max="3" width="10.109375" customWidth="1"/>
    <col min="4" max="4" width="8.109375" customWidth="1"/>
    <col min="5" max="5" width="9" customWidth="1"/>
    <col min="6" max="6" width="13.88671875" bestFit="1" customWidth="1"/>
    <col min="7" max="7" width="7.88671875" bestFit="1" customWidth="1"/>
    <col min="8" max="8" width="12.6640625" customWidth="1"/>
    <col min="11" max="11" width="12.77734375" bestFit="1" customWidth="1"/>
  </cols>
  <sheetData>
    <row r="1" spans="1:11" x14ac:dyDescent="0.25">
      <c r="A1" s="10" t="s">
        <v>2</v>
      </c>
    </row>
    <row r="3" spans="1:11" x14ac:dyDescent="0.25">
      <c r="A3" t="s">
        <v>4</v>
      </c>
      <c r="B3" s="3">
        <v>3</v>
      </c>
      <c r="C3" t="s">
        <v>9</v>
      </c>
      <c r="D3" t="s">
        <v>5</v>
      </c>
      <c r="E3">
        <v>100</v>
      </c>
      <c r="F3" t="s">
        <v>32</v>
      </c>
    </row>
    <row r="4" spans="1:11" x14ac:dyDescent="0.25">
      <c r="A4" t="s">
        <v>6</v>
      </c>
      <c r="B4">
        <v>100</v>
      </c>
      <c r="C4" t="s">
        <v>8</v>
      </c>
      <c r="D4" t="s">
        <v>7</v>
      </c>
      <c r="E4" s="1">
        <v>2851</v>
      </c>
      <c r="F4" t="s">
        <v>8</v>
      </c>
      <c r="G4" s="22" t="s">
        <v>31</v>
      </c>
    </row>
    <row r="6" spans="1:11" x14ac:dyDescent="0.25">
      <c r="A6" s="5" t="s">
        <v>3</v>
      </c>
      <c r="B6" s="5" t="s">
        <v>34</v>
      </c>
      <c r="C6" s="5" t="s">
        <v>18</v>
      </c>
      <c r="D6" s="5" t="s">
        <v>47</v>
      </c>
      <c r="E6" s="9" t="s">
        <v>33</v>
      </c>
      <c r="F6" s="5" t="s">
        <v>17</v>
      </c>
      <c r="G6" s="9" t="s">
        <v>35</v>
      </c>
      <c r="H6" s="5" t="s">
        <v>45</v>
      </c>
      <c r="I6" s="5" t="s">
        <v>46</v>
      </c>
      <c r="J6" s="24" t="s">
        <v>42</v>
      </c>
      <c r="K6" t="s">
        <v>77</v>
      </c>
    </row>
    <row r="7" spans="1:11" x14ac:dyDescent="0.25">
      <c r="A7" s="5">
        <v>1</v>
      </c>
      <c r="B7" s="6">
        <v>25.8</v>
      </c>
      <c r="C7" s="7">
        <v>0.62</v>
      </c>
      <c r="D7" s="5">
        <f>C7/1000</f>
        <v>6.2E-4</v>
      </c>
      <c r="E7" s="5">
        <f>(D7*($E$3+$E$4)^2)/($B$3*$E$3-D7*($E$3+$E$4))</f>
        <v>18.107796689932783</v>
      </c>
      <c r="F7" s="8">
        <f t="shared" ref="F7:F16" si="0">$E$4+E7</f>
        <v>2869.1077966899329</v>
      </c>
      <c r="G7" s="25">
        <f t="shared" ref="G7:G16" si="1">B7+273.15</f>
        <v>298.95</v>
      </c>
      <c r="H7" s="28">
        <f>1/G7</f>
        <v>3.3450409767519654E-3</v>
      </c>
      <c r="I7" s="8">
        <f>LN(F7)</f>
        <v>7.9617563881894045</v>
      </c>
      <c r="J7">
        <f>I7*H7</f>
        <v>2.6632401365410285E-2</v>
      </c>
      <c r="K7" s="43">
        <f>H7^2</f>
        <v>1.1189299136149744E-5</v>
      </c>
    </row>
    <row r="8" spans="1:11" x14ac:dyDescent="0.25">
      <c r="A8" s="5">
        <v>2</v>
      </c>
      <c r="B8" s="6">
        <v>28.8</v>
      </c>
      <c r="C8" s="7">
        <v>-9.86</v>
      </c>
      <c r="D8" s="5">
        <f t="shared" ref="D8:D16" si="2">C8/1000</f>
        <v>-9.859999999999999E-3</v>
      </c>
      <c r="E8" s="5">
        <f t="shared" ref="E8:E16" si="3">(D8*($E$3+$E$4)^2)/($B$3*$E$3-D8*($E$3+$E$4))</f>
        <v>-260.91052299921665</v>
      </c>
      <c r="F8" s="8">
        <f t="shared" si="0"/>
        <v>2590.0894770007835</v>
      </c>
      <c r="G8" s="25">
        <f t="shared" si="1"/>
        <v>301.95</v>
      </c>
      <c r="H8" s="28">
        <f t="shared" ref="H8:H16" si="4">1/G8</f>
        <v>3.3118065904951151E-3</v>
      </c>
      <c r="I8" s="8">
        <f t="shared" ref="I8:I16" si="5">LN(F8)</f>
        <v>7.8594477012013959</v>
      </c>
      <c r="J8">
        <f t="shared" ref="J8:J16" si="6">I8*H8</f>
        <v>2.6028970694490464E-2</v>
      </c>
      <c r="K8" s="43">
        <f t="shared" ref="K8:K16" si="7">H8^2</f>
        <v>1.0968062892846879E-5</v>
      </c>
    </row>
    <row r="9" spans="1:11" x14ac:dyDescent="0.25">
      <c r="A9" s="5">
        <v>3</v>
      </c>
      <c r="B9" s="6">
        <v>31.8</v>
      </c>
      <c r="C9" s="7">
        <v>-21.53</v>
      </c>
      <c r="D9" s="5">
        <f t="shared" si="2"/>
        <v>-2.1530000000000001E-2</v>
      </c>
      <c r="E9" s="5">
        <f t="shared" si="3"/>
        <v>-515.74637396016556</v>
      </c>
      <c r="F9" s="8">
        <f t="shared" si="0"/>
        <v>2335.2536260398347</v>
      </c>
      <c r="G9" s="25">
        <f t="shared" si="1"/>
        <v>304.95</v>
      </c>
      <c r="H9" s="28">
        <f t="shared" si="4"/>
        <v>3.279226102639777E-3</v>
      </c>
      <c r="I9" s="8">
        <f t="shared" si="5"/>
        <v>7.7558757834933587</v>
      </c>
      <c r="J9">
        <f t="shared" si="6"/>
        <v>2.5433270318063153E-2</v>
      </c>
      <c r="K9" s="43">
        <f t="shared" si="7"/>
        <v>1.0753323832234061E-5</v>
      </c>
    </row>
    <row r="10" spans="1:11" x14ac:dyDescent="0.25">
      <c r="A10" s="5">
        <v>4</v>
      </c>
      <c r="B10" s="6">
        <v>34.799999999999997</v>
      </c>
      <c r="C10" s="7">
        <v>-34.56</v>
      </c>
      <c r="D10" s="5">
        <f t="shared" si="2"/>
        <v>-3.456E-2</v>
      </c>
      <c r="E10" s="5">
        <f t="shared" si="3"/>
        <v>-748.68756447976773</v>
      </c>
      <c r="F10" s="8">
        <f t="shared" si="0"/>
        <v>2102.3124355202322</v>
      </c>
      <c r="G10" s="25">
        <f t="shared" si="1"/>
        <v>307.95</v>
      </c>
      <c r="H10" s="28">
        <f t="shared" si="4"/>
        <v>3.2472804026627698E-3</v>
      </c>
      <c r="I10" s="8">
        <f t="shared" si="5"/>
        <v>7.6507931776513365</v>
      </c>
      <c r="J10">
        <f t="shared" si="6"/>
        <v>2.4844270750613205E-2</v>
      </c>
      <c r="K10" s="43">
        <f t="shared" si="7"/>
        <v>1.054483001351768E-5</v>
      </c>
    </row>
    <row r="11" spans="1:11" x14ac:dyDescent="0.25">
      <c r="A11" s="5">
        <v>5</v>
      </c>
      <c r="B11" s="6">
        <v>37.799999999999997</v>
      </c>
      <c r="C11" s="7">
        <v>-48.97</v>
      </c>
      <c r="D11" s="5">
        <f t="shared" si="2"/>
        <v>-4.897E-2</v>
      </c>
      <c r="E11" s="5">
        <f t="shared" si="3"/>
        <v>-959.37087144426539</v>
      </c>
      <c r="F11" s="8">
        <f t="shared" si="0"/>
        <v>1891.6291285557345</v>
      </c>
      <c r="G11" s="25">
        <f t="shared" si="1"/>
        <v>310.95</v>
      </c>
      <c r="H11" s="28">
        <f t="shared" si="4"/>
        <v>3.2159511175430134E-3</v>
      </c>
      <c r="I11" s="8">
        <f t="shared" si="5"/>
        <v>7.5451937095493058</v>
      </c>
      <c r="J11">
        <f t="shared" si="6"/>
        <v>2.4264974142303605E-2</v>
      </c>
      <c r="K11" s="43">
        <f t="shared" si="7"/>
        <v>1.0342341590426157E-5</v>
      </c>
    </row>
    <row r="12" spans="1:11" x14ac:dyDescent="0.25">
      <c r="A12" s="5">
        <v>6</v>
      </c>
      <c r="B12" s="6">
        <v>40.799999999999997</v>
      </c>
      <c r="C12" s="7">
        <v>-64</v>
      </c>
      <c r="D12" s="5">
        <f t="shared" si="2"/>
        <v>-6.4000000000000001E-2</v>
      </c>
      <c r="E12" s="5">
        <f t="shared" si="3"/>
        <v>-1140.0668979511684</v>
      </c>
      <c r="F12" s="8">
        <f t="shared" si="0"/>
        <v>1710.9331020488316</v>
      </c>
      <c r="G12" s="25">
        <f t="shared" si="1"/>
        <v>313.95</v>
      </c>
      <c r="H12" s="28">
        <f t="shared" si="4"/>
        <v>3.1852205765249245E-3</v>
      </c>
      <c r="I12" s="8">
        <f t="shared" si="5"/>
        <v>7.4447941743837101</v>
      </c>
      <c r="J12">
        <f t="shared" si="6"/>
        <v>2.3713311592239879E-2</v>
      </c>
      <c r="K12" s="43">
        <f t="shared" si="7"/>
        <v>1.0145630121117772E-5</v>
      </c>
    </row>
    <row r="13" spans="1:11" x14ac:dyDescent="0.25">
      <c r="A13" s="5">
        <v>7</v>
      </c>
      <c r="B13" s="6">
        <v>43.8</v>
      </c>
      <c r="C13" s="7">
        <v>-80.349999999999994</v>
      </c>
      <c r="D13" s="5">
        <f t="shared" si="2"/>
        <v>-8.0349999999999991E-2</v>
      </c>
      <c r="E13" s="5">
        <f t="shared" si="3"/>
        <v>-1302.7430275592922</v>
      </c>
      <c r="F13" s="8">
        <f t="shared" si="0"/>
        <v>1548.2569724407078</v>
      </c>
      <c r="G13" s="25">
        <f t="shared" si="1"/>
        <v>316.95</v>
      </c>
      <c r="H13" s="28">
        <f t="shared" si="4"/>
        <v>3.155071777882947E-3</v>
      </c>
      <c r="I13" s="8">
        <f t="shared" si="5"/>
        <v>7.344885043241395</v>
      </c>
      <c r="J13">
        <f t="shared" si="6"/>
        <v>2.3173639511725495E-2</v>
      </c>
      <c r="K13" s="43">
        <f t="shared" si="7"/>
        <v>9.9544779235934599E-6</v>
      </c>
    </row>
    <row r="14" spans="1:11" x14ac:dyDescent="0.25">
      <c r="A14" s="5">
        <v>8</v>
      </c>
      <c r="B14" s="6">
        <v>46.8</v>
      </c>
      <c r="C14" s="7">
        <v>-98.2</v>
      </c>
      <c r="D14" s="5">
        <f t="shared" si="2"/>
        <v>-9.820000000000001E-2</v>
      </c>
      <c r="E14" s="5">
        <f t="shared" si="3"/>
        <v>-1449.9526748754895</v>
      </c>
      <c r="F14" s="8">
        <f t="shared" si="0"/>
        <v>1401.0473251245105</v>
      </c>
      <c r="G14" s="25">
        <f t="shared" si="1"/>
        <v>319.95</v>
      </c>
      <c r="H14" s="28">
        <f t="shared" si="4"/>
        <v>3.1254883575558682E-3</v>
      </c>
      <c r="I14" s="8">
        <f t="shared" si="5"/>
        <v>7.2449753252986184</v>
      </c>
      <c r="J14">
        <f t="shared" si="6"/>
        <v>2.2644086030000371E-2</v>
      </c>
      <c r="K14" s="43">
        <f t="shared" si="7"/>
        <v>9.7686774732172793E-6</v>
      </c>
    </row>
    <row r="15" spans="1:11" x14ac:dyDescent="0.25">
      <c r="A15" s="5">
        <v>9</v>
      </c>
      <c r="B15" s="6">
        <v>49.8</v>
      </c>
      <c r="C15" s="7">
        <v>-117.45</v>
      </c>
      <c r="D15" s="5">
        <f t="shared" si="2"/>
        <v>-0.11745</v>
      </c>
      <c r="E15" s="5">
        <f t="shared" si="3"/>
        <v>-1581.8275373941601</v>
      </c>
      <c r="F15" s="8">
        <f t="shared" si="0"/>
        <v>1269.1724626058399</v>
      </c>
      <c r="G15" s="25">
        <f t="shared" si="1"/>
        <v>322.95</v>
      </c>
      <c r="H15" s="28">
        <f t="shared" si="4"/>
        <v>3.0964545595293389E-3</v>
      </c>
      <c r="I15" s="8">
        <f t="shared" si="5"/>
        <v>7.1461203628189534</v>
      </c>
      <c r="J15">
        <f t="shared" si="6"/>
        <v>2.2127636980396201E-2</v>
      </c>
      <c r="K15" s="43">
        <f t="shared" si="7"/>
        <v>9.5880308392300314E-6</v>
      </c>
    </row>
    <row r="16" spans="1:11" x14ac:dyDescent="0.25">
      <c r="A16" s="5">
        <v>10</v>
      </c>
      <c r="B16" s="6">
        <v>52.8</v>
      </c>
      <c r="C16" s="7">
        <v>-137.99</v>
      </c>
      <c r="D16" s="5">
        <f t="shared" si="2"/>
        <v>-0.13799</v>
      </c>
      <c r="E16" s="5">
        <f t="shared" si="3"/>
        <v>-1699.1767929567702</v>
      </c>
      <c r="F16" s="8">
        <f t="shared" si="0"/>
        <v>1151.8232070432298</v>
      </c>
      <c r="G16" s="25">
        <f t="shared" si="1"/>
        <v>325.95</v>
      </c>
      <c r="H16" s="28">
        <f t="shared" si="4"/>
        <v>3.0679552078539656E-3</v>
      </c>
      <c r="I16" s="8">
        <f t="shared" si="5"/>
        <v>7.0491013633704007</v>
      </c>
      <c r="J16">
        <f t="shared" si="6"/>
        <v>2.1626327238442711E-2</v>
      </c>
      <c r="K16" s="43">
        <f t="shared" si="7"/>
        <v>9.4123491573982698E-6</v>
      </c>
    </row>
    <row r="19" spans="2:11" s="4" customFormat="1" ht="14.4" customHeight="1" x14ac:dyDescent="0.25">
      <c r="B19" s="45" t="s">
        <v>48</v>
      </c>
      <c r="C19" s="27">
        <f>F23</f>
        <v>3303.8960854196725</v>
      </c>
      <c r="E19" s="23" t="s">
        <v>39</v>
      </c>
      <c r="F19" s="26">
        <f>AVERAGE(G7:G16)</f>
        <v>312.44999999999993</v>
      </c>
      <c r="K19"/>
    </row>
    <row r="20" spans="2:11" ht="14.4" customHeight="1" x14ac:dyDescent="0.25">
      <c r="B20" s="45" t="s">
        <v>49</v>
      </c>
      <c r="C20" s="27">
        <f>EXP(F24+F23/298.15)</f>
        <v>2979.1804826945668</v>
      </c>
      <c r="E20" s="23" t="s">
        <v>40</v>
      </c>
      <c r="F20">
        <f>AVERAGE(I7:I16)</f>
        <v>7.5002943029197882</v>
      </c>
    </row>
    <row r="21" spans="2:11" ht="14.4" customHeight="1" x14ac:dyDescent="0.25">
      <c r="B21" s="23"/>
      <c r="E21" s="23" t="s">
        <v>41</v>
      </c>
      <c r="F21">
        <f>AVERAGE(J7:J16)</f>
        <v>2.4048888862368539E-2</v>
      </c>
    </row>
    <row r="22" spans="2:11" x14ac:dyDescent="0.25">
      <c r="B22" s="46" t="s">
        <v>80</v>
      </c>
      <c r="C22" s="44">
        <v>3202.5225693903767</v>
      </c>
      <c r="E22" s="23" t="s">
        <v>76</v>
      </c>
      <c r="F22" s="43">
        <f>AVERAGE(K7:K16)</f>
        <v>1.0266702297973131E-5</v>
      </c>
    </row>
    <row r="23" spans="2:11" x14ac:dyDescent="0.25">
      <c r="B23" s="46" t="s">
        <v>81</v>
      </c>
      <c r="C23" s="44">
        <v>2661.3096698599657</v>
      </c>
      <c r="E23" s="23" t="s">
        <v>51</v>
      </c>
      <c r="F23">
        <f>SLOPE(I7:I16,H7:H16)</f>
        <v>3303.8960854196725</v>
      </c>
      <c r="J23" s="30"/>
    </row>
    <row r="24" spans="2:11" x14ac:dyDescent="0.25">
      <c r="B24" s="23"/>
      <c r="E24" s="23" t="s">
        <v>50</v>
      </c>
      <c r="F24">
        <f>INTERCEPT(I7:I16,H7:H16)</f>
        <v>-3.0819182331030239</v>
      </c>
    </row>
    <row r="25" spans="2:11" x14ac:dyDescent="0.25">
      <c r="B25" s="47" t="s">
        <v>82</v>
      </c>
      <c r="C25" s="48">
        <f>ABS((C19-C22)/C22)</f>
        <v>3.1654270604748E-2</v>
      </c>
      <c r="E25" s="23" t="s">
        <v>38</v>
      </c>
      <c r="F25">
        <f>PEARSON(H7:H16,I7:I16)</f>
        <v>0.99991400482437642</v>
      </c>
    </row>
    <row r="26" spans="2:11" x14ac:dyDescent="0.25">
      <c r="B26" s="47" t="s">
        <v>83</v>
      </c>
      <c r="C26" s="48">
        <f>ABS((C20-C23)/C23)</f>
        <v>0.11944149770865524</v>
      </c>
    </row>
    <row r="29" spans="2:11" x14ac:dyDescent="0.25">
      <c r="J29" s="30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017C4-7CF5-44C7-9D4A-CFE0D349E66C}">
  <dimension ref="A1:M16"/>
  <sheetViews>
    <sheetView workbookViewId="0"/>
  </sheetViews>
  <sheetFormatPr defaultRowHeight="14.4" x14ac:dyDescent="0.25"/>
  <cols>
    <col min="1" max="1" width="8.77734375" customWidth="1"/>
    <col min="3" max="3" width="14.5546875" customWidth="1"/>
    <col min="9" max="9" width="14.5546875" customWidth="1"/>
  </cols>
  <sheetData>
    <row r="1" spans="1:13" x14ac:dyDescent="0.25">
      <c r="A1" s="10" t="s">
        <v>54</v>
      </c>
      <c r="G1" s="10" t="s">
        <v>62</v>
      </c>
    </row>
    <row r="3" spans="1:13" x14ac:dyDescent="0.25">
      <c r="A3" s="31"/>
      <c r="B3" s="32"/>
      <c r="C3" s="33" t="s">
        <v>55</v>
      </c>
      <c r="D3" s="6">
        <v>1000</v>
      </c>
      <c r="E3" s="5" t="s">
        <v>56</v>
      </c>
      <c r="G3" s="31"/>
      <c r="H3" s="32"/>
      <c r="I3" s="33" t="s">
        <v>55</v>
      </c>
      <c r="J3" s="6">
        <v>1000</v>
      </c>
      <c r="K3" s="5" t="s">
        <v>56</v>
      </c>
    </row>
    <row r="4" spans="1:13" x14ac:dyDescent="0.25">
      <c r="A4" s="31"/>
      <c r="B4" s="32"/>
      <c r="C4" s="33" t="s">
        <v>66</v>
      </c>
      <c r="D4" s="5">
        <f>2*PI()*D3</f>
        <v>6283.1853071795858</v>
      </c>
      <c r="E4" s="5" t="s">
        <v>69</v>
      </c>
      <c r="G4" s="31"/>
      <c r="H4" s="32"/>
      <c r="I4" s="33" t="s">
        <v>66</v>
      </c>
      <c r="J4" s="5">
        <f>2*PI()*J3</f>
        <v>6283.1853071795858</v>
      </c>
      <c r="K4" s="5" t="s">
        <v>69</v>
      </c>
    </row>
    <row r="5" spans="1:13" x14ac:dyDescent="0.25">
      <c r="A5" s="63" t="s">
        <v>57</v>
      </c>
      <c r="B5" s="64"/>
      <c r="C5" s="5" t="s">
        <v>5</v>
      </c>
      <c r="D5" s="5">
        <v>100</v>
      </c>
      <c r="E5" s="34" t="s">
        <v>32</v>
      </c>
      <c r="G5" s="63" t="s">
        <v>57</v>
      </c>
      <c r="H5" s="64"/>
      <c r="I5" s="5" t="s">
        <v>5</v>
      </c>
      <c r="J5" s="5">
        <v>100</v>
      </c>
      <c r="K5" s="34" t="s">
        <v>32</v>
      </c>
    </row>
    <row r="6" spans="1:13" x14ac:dyDescent="0.25">
      <c r="A6" s="65"/>
      <c r="B6" s="66"/>
      <c r="C6" s="5" t="s">
        <v>6</v>
      </c>
      <c r="D6" s="5">
        <v>120</v>
      </c>
      <c r="E6" s="34" t="s">
        <v>32</v>
      </c>
      <c r="G6" s="65"/>
      <c r="H6" s="66"/>
      <c r="I6" s="5" t="s">
        <v>6</v>
      </c>
      <c r="J6" s="5">
        <v>100</v>
      </c>
      <c r="K6" s="34" t="s">
        <v>32</v>
      </c>
    </row>
    <row r="7" spans="1:13" x14ac:dyDescent="0.25">
      <c r="A7" s="65"/>
      <c r="B7" s="66"/>
      <c r="C7" s="5" t="s">
        <v>58</v>
      </c>
      <c r="D7" s="37">
        <v>0.86899999999999999</v>
      </c>
      <c r="E7" s="34" t="s">
        <v>59</v>
      </c>
      <c r="G7" s="65"/>
      <c r="H7" s="66"/>
      <c r="I7" s="5" t="s">
        <v>58</v>
      </c>
      <c r="J7" s="37">
        <v>0.48899999999999999</v>
      </c>
      <c r="K7" s="34" t="s">
        <v>59</v>
      </c>
    </row>
    <row r="8" spans="1:13" x14ac:dyDescent="0.25">
      <c r="A8" s="67"/>
      <c r="B8" s="68"/>
      <c r="C8" s="5" t="s">
        <v>7</v>
      </c>
      <c r="D8" s="36">
        <v>0.9</v>
      </c>
      <c r="E8" s="34" t="s">
        <v>32</v>
      </c>
      <c r="G8" s="67"/>
      <c r="H8" s="68"/>
      <c r="I8" s="5" t="s">
        <v>7</v>
      </c>
      <c r="J8" s="36">
        <v>2118</v>
      </c>
      <c r="K8" s="34" t="s">
        <v>32</v>
      </c>
    </row>
    <row r="10" spans="1:13" ht="14.4" customHeight="1" x14ac:dyDescent="0.25">
      <c r="A10" s="69" t="s">
        <v>60</v>
      </c>
      <c r="B10" s="69"/>
      <c r="C10" s="38" t="s">
        <v>61</v>
      </c>
      <c r="D10" s="8">
        <f>D6*D7/D5</f>
        <v>1.0427999999999999</v>
      </c>
      <c r="E10" s="34" t="s">
        <v>59</v>
      </c>
      <c r="G10" s="63" t="s">
        <v>60</v>
      </c>
      <c r="H10" s="64"/>
      <c r="I10" s="38" t="s">
        <v>87</v>
      </c>
      <c r="J10" s="8">
        <f>J5*J6*J7/1000</f>
        <v>4.8899999999999997</v>
      </c>
      <c r="K10" s="5" t="s">
        <v>63</v>
      </c>
    </row>
    <row r="11" spans="1:13" ht="14.4" customHeight="1" x14ac:dyDescent="0.25">
      <c r="A11" s="69"/>
      <c r="B11" s="69"/>
      <c r="C11" s="38" t="s">
        <v>67</v>
      </c>
      <c r="D11" s="8">
        <f>D5*D8/D6</f>
        <v>0.75</v>
      </c>
      <c r="E11" s="34" t="s">
        <v>32</v>
      </c>
      <c r="G11" s="65"/>
      <c r="H11" s="66"/>
      <c r="I11" s="38" t="s">
        <v>68</v>
      </c>
      <c r="J11" s="8">
        <f>J5*J6/J8</f>
        <v>4.7214353163361658</v>
      </c>
      <c r="K11" s="34" t="s">
        <v>32</v>
      </c>
    </row>
    <row r="12" spans="1:13" ht="14.4" customHeight="1" x14ac:dyDescent="0.25">
      <c r="A12" s="69"/>
      <c r="B12" s="69"/>
      <c r="C12" s="38" t="s">
        <v>64</v>
      </c>
      <c r="D12" s="8">
        <f>D8*(D7*10^-6)*D4</f>
        <v>4.9140792287451539E-3</v>
      </c>
      <c r="E12" s="5" t="s">
        <v>65</v>
      </c>
      <c r="G12" s="67"/>
      <c r="H12" s="68"/>
      <c r="I12" s="38" t="s">
        <v>70</v>
      </c>
      <c r="J12" s="8">
        <f>J8*(J7*10^-6)*J4</f>
        <v>6.5075075890165106</v>
      </c>
      <c r="K12" s="5" t="s">
        <v>65</v>
      </c>
    </row>
    <row r="13" spans="1:13" ht="14.4" customHeight="1" x14ac:dyDescent="0.25">
      <c r="A13" s="35"/>
      <c r="B13" s="35"/>
      <c r="M13" s="48"/>
    </row>
    <row r="14" spans="1:13" ht="14.4" customHeight="1" x14ac:dyDescent="0.25">
      <c r="A14" s="63" t="s">
        <v>86</v>
      </c>
      <c r="B14" s="64"/>
      <c r="C14" s="5" t="s">
        <v>85</v>
      </c>
      <c r="D14" s="5">
        <v>1</v>
      </c>
      <c r="E14" s="34" t="s">
        <v>59</v>
      </c>
      <c r="G14" s="63" t="s">
        <v>86</v>
      </c>
      <c r="H14" s="64"/>
      <c r="I14" s="5" t="s">
        <v>85</v>
      </c>
      <c r="J14" s="5">
        <v>5</v>
      </c>
      <c r="K14" s="5" t="s">
        <v>63</v>
      </c>
    </row>
    <row r="15" spans="1:13" ht="14.4" customHeight="1" x14ac:dyDescent="0.25">
      <c r="A15" s="67"/>
      <c r="B15" s="68"/>
      <c r="C15" s="5" t="s">
        <v>25</v>
      </c>
      <c r="D15" s="51">
        <f>ABS((D10-D14)/D14)</f>
        <v>4.2799999999999949E-2</v>
      </c>
      <c r="E15" s="5"/>
      <c r="G15" s="67"/>
      <c r="H15" s="68"/>
      <c r="I15" s="5" t="s">
        <v>25</v>
      </c>
      <c r="J15" s="51">
        <f>ABS((J10-J14)/J14)</f>
        <v>2.2000000000000065E-2</v>
      </c>
      <c r="K15" s="5"/>
    </row>
    <row r="16" spans="1:13" ht="14.4" customHeight="1" x14ac:dyDescent="0.25"/>
  </sheetData>
  <mergeCells count="6">
    <mergeCell ref="G10:H12"/>
    <mergeCell ref="G5:H8"/>
    <mergeCell ref="A5:B8"/>
    <mergeCell ref="A10:B12"/>
    <mergeCell ref="A14:B15"/>
    <mergeCell ref="G14:H15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AA05D-9400-40A4-B56B-395FB1FA8DBE}">
  <dimension ref="A1:K28"/>
  <sheetViews>
    <sheetView tabSelected="1" zoomScaleNormal="100" workbookViewId="0">
      <selection activeCell="K11" sqref="K11"/>
    </sheetView>
  </sheetViews>
  <sheetFormatPr defaultRowHeight="14.4" x14ac:dyDescent="0.25"/>
  <cols>
    <col min="1" max="1" width="7.21875" customWidth="1"/>
    <col min="2" max="2" width="10.5546875" customWidth="1"/>
    <col min="3" max="3" width="10.109375" customWidth="1"/>
    <col min="4" max="4" width="8.109375" customWidth="1"/>
    <col min="5" max="5" width="15" bestFit="1" customWidth="1"/>
    <col min="6" max="6" width="13.88671875" bestFit="1" customWidth="1"/>
    <col min="7" max="7" width="7.88671875" bestFit="1" customWidth="1"/>
    <col min="8" max="8" width="12.6640625" customWidth="1"/>
    <col min="11" max="11" width="12.77734375" bestFit="1" customWidth="1"/>
  </cols>
  <sheetData>
    <row r="1" spans="1:9" x14ac:dyDescent="0.25">
      <c r="A1" s="10" t="s">
        <v>84</v>
      </c>
    </row>
    <row r="3" spans="1:9" x14ac:dyDescent="0.25">
      <c r="A3" s="5" t="s">
        <v>3</v>
      </c>
      <c r="B3" s="5" t="s">
        <v>34</v>
      </c>
      <c r="C3" s="5" t="s">
        <v>88</v>
      </c>
      <c r="D3" s="9" t="s">
        <v>35</v>
      </c>
      <c r="E3" s="5" t="s">
        <v>45</v>
      </c>
      <c r="F3" s="5" t="s">
        <v>46</v>
      </c>
      <c r="G3" s="24" t="s">
        <v>42</v>
      </c>
      <c r="H3" t="s">
        <v>77</v>
      </c>
    </row>
    <row r="4" spans="1:9" x14ac:dyDescent="0.25">
      <c r="A4" s="5">
        <v>1</v>
      </c>
      <c r="B4" s="5">
        <v>25</v>
      </c>
      <c r="C4" s="5">
        <v>2700</v>
      </c>
      <c r="D4" s="49">
        <f t="shared" ref="D4:D12" si="0">B4+273.15</f>
        <v>298.14999999999998</v>
      </c>
      <c r="E4" s="50">
        <f>1/D4</f>
        <v>3.3540164346805303E-3</v>
      </c>
      <c r="F4" s="5">
        <f>LN(C4)</f>
        <v>7.90100705199242</v>
      </c>
      <c r="G4">
        <f>F4*E4</f>
        <v>2.6500107502909345E-2</v>
      </c>
      <c r="H4" s="43">
        <f>E4^2</f>
        <v>1.1249426244107096E-5</v>
      </c>
    </row>
    <row r="5" spans="1:9" x14ac:dyDescent="0.25">
      <c r="A5" s="5">
        <v>2</v>
      </c>
      <c r="B5" s="5">
        <v>30</v>
      </c>
      <c r="C5" s="5">
        <v>2225</v>
      </c>
      <c r="D5" s="49">
        <f t="shared" si="0"/>
        <v>303.14999999999998</v>
      </c>
      <c r="E5" s="50">
        <f t="shared" ref="E5:E12" si="1">1/D5</f>
        <v>3.298697014679202E-3</v>
      </c>
      <c r="F5" s="5">
        <f t="shared" ref="F5:F12" si="2">LN(C5)</f>
        <v>7.7075121946003406</v>
      </c>
      <c r="G5">
        <f t="shared" ref="G5:G12" si="3">F5*E5</f>
        <v>2.5424747466931689E-2</v>
      </c>
      <c r="H5" s="43">
        <f t="shared" ref="H5:H12" si="4">E5^2</f>
        <v>1.088140199465348E-5</v>
      </c>
    </row>
    <row r="6" spans="1:9" x14ac:dyDescent="0.25">
      <c r="A6" s="5">
        <v>3</v>
      </c>
      <c r="B6" s="5">
        <v>35</v>
      </c>
      <c r="C6" s="5">
        <v>1870</v>
      </c>
      <c r="D6" s="49">
        <f t="shared" si="0"/>
        <v>308.14999999999998</v>
      </c>
      <c r="E6" s="50">
        <f t="shared" si="1"/>
        <v>3.2451728054518907E-3</v>
      </c>
      <c r="F6" s="5">
        <f t="shared" si="2"/>
        <v>7.5336937098486327</v>
      </c>
      <c r="G6">
        <f t="shared" si="3"/>
        <v>2.4448137951804748E-2</v>
      </c>
      <c r="H6" s="43">
        <f t="shared" si="4"/>
        <v>1.0531146537244495E-5</v>
      </c>
    </row>
    <row r="7" spans="1:9" x14ac:dyDescent="0.25">
      <c r="A7" s="5">
        <v>4</v>
      </c>
      <c r="B7" s="5">
        <v>40</v>
      </c>
      <c r="C7" s="5">
        <v>1573</v>
      </c>
      <c r="D7" s="49">
        <f t="shared" si="0"/>
        <v>313.14999999999998</v>
      </c>
      <c r="E7" s="50">
        <f t="shared" si="1"/>
        <v>3.1933578157432542E-3</v>
      </c>
      <c r="F7" s="5">
        <f t="shared" si="2"/>
        <v>7.3607399030582776</v>
      </c>
      <c r="G7">
        <f t="shared" si="3"/>
        <v>2.3505476299084394E-2</v>
      </c>
      <c r="H7" s="43">
        <f t="shared" si="4"/>
        <v>1.0197534139368528E-5</v>
      </c>
    </row>
    <row r="8" spans="1:9" x14ac:dyDescent="0.25">
      <c r="A8" s="5">
        <v>5</v>
      </c>
      <c r="B8" s="5">
        <v>45</v>
      </c>
      <c r="C8" s="5">
        <v>1341</v>
      </c>
      <c r="D8" s="49">
        <f t="shared" si="0"/>
        <v>318.14999999999998</v>
      </c>
      <c r="E8" s="50">
        <f t="shared" si="1"/>
        <v>3.1431714600031434E-3</v>
      </c>
      <c r="F8" s="5">
        <f t="shared" si="2"/>
        <v>7.2011708832816783</v>
      </c>
      <c r="G8">
        <f t="shared" si="3"/>
        <v>2.2634514798936599E-2</v>
      </c>
      <c r="H8" s="43">
        <f t="shared" si="4"/>
        <v>9.8795268269782923E-6</v>
      </c>
    </row>
    <row r="9" spans="1:9" x14ac:dyDescent="0.25">
      <c r="A9" s="5">
        <v>6</v>
      </c>
      <c r="B9" s="5">
        <v>50</v>
      </c>
      <c r="C9" s="5">
        <v>1160</v>
      </c>
      <c r="D9" s="49">
        <f t="shared" si="0"/>
        <v>323.14999999999998</v>
      </c>
      <c r="E9" s="50">
        <f t="shared" si="1"/>
        <v>3.0945381401825778E-3</v>
      </c>
      <c r="F9" s="5">
        <f t="shared" si="2"/>
        <v>7.0561752841004104</v>
      </c>
      <c r="G9">
        <f t="shared" si="3"/>
        <v>2.1835603540462357E-2</v>
      </c>
      <c r="H9" s="43">
        <f t="shared" si="4"/>
        <v>9.5761663010446475E-6</v>
      </c>
    </row>
    <row r="10" spans="1:9" x14ac:dyDescent="0.25">
      <c r="A10" s="5">
        <v>7</v>
      </c>
      <c r="B10" s="5">
        <v>55</v>
      </c>
      <c r="C10" s="5">
        <v>1000</v>
      </c>
      <c r="D10" s="49">
        <f t="shared" si="0"/>
        <v>328.15</v>
      </c>
      <c r="E10" s="50">
        <f t="shared" si="1"/>
        <v>3.0473868657626088E-3</v>
      </c>
      <c r="F10" s="5">
        <f t="shared" si="2"/>
        <v>6.9077552789821368</v>
      </c>
      <c r="G10">
        <f t="shared" si="3"/>
        <v>2.105060270907249E-2</v>
      </c>
      <c r="H10" s="43">
        <f t="shared" si="4"/>
        <v>9.2865667096224553E-6</v>
      </c>
    </row>
    <row r="11" spans="1:9" x14ac:dyDescent="0.25">
      <c r="A11" s="5">
        <v>8</v>
      </c>
      <c r="B11" s="5">
        <v>60</v>
      </c>
      <c r="C11" s="5">
        <v>868</v>
      </c>
      <c r="D11" s="49">
        <f t="shared" si="0"/>
        <v>333.15</v>
      </c>
      <c r="E11" s="50">
        <f t="shared" si="1"/>
        <v>3.0016509079993999E-3</v>
      </c>
      <c r="F11" s="5">
        <f t="shared" si="2"/>
        <v>6.7661917146603505</v>
      </c>
      <c r="G11">
        <f t="shared" si="3"/>
        <v>2.0309745504008256E-2</v>
      </c>
      <c r="H11" s="43">
        <f t="shared" si="4"/>
        <v>9.0099081734936218E-6</v>
      </c>
    </row>
    <row r="12" spans="1:9" x14ac:dyDescent="0.25">
      <c r="A12" s="5">
        <v>9</v>
      </c>
      <c r="B12" s="5">
        <v>65</v>
      </c>
      <c r="C12" s="5">
        <v>748</v>
      </c>
      <c r="D12" s="49">
        <f t="shared" si="0"/>
        <v>338.15</v>
      </c>
      <c r="E12" s="50">
        <f t="shared" si="1"/>
        <v>2.9572674848440043E-3</v>
      </c>
      <c r="F12" s="5">
        <f t="shared" si="2"/>
        <v>6.6174029779744776</v>
      </c>
      <c r="G12">
        <f t="shared" si="3"/>
        <v>1.9569430660873809E-2</v>
      </c>
      <c r="H12" s="43">
        <f t="shared" si="4"/>
        <v>8.7454309769155832E-6</v>
      </c>
    </row>
    <row r="15" spans="1:9" x14ac:dyDescent="0.25">
      <c r="A15" s="4"/>
      <c r="B15" s="27" t="s">
        <v>48</v>
      </c>
      <c r="C15" s="27">
        <f>F19</f>
        <v>3202.5225693903767</v>
      </c>
      <c r="D15" s="4"/>
      <c r="E15" s="23" t="s">
        <v>39</v>
      </c>
      <c r="F15" s="26">
        <f>AVERAGE(D4:D12)</f>
        <v>318.15000000000003</v>
      </c>
      <c r="G15" s="4"/>
      <c r="H15" s="4"/>
      <c r="I15" s="4"/>
    </row>
    <row r="16" spans="1:9" x14ac:dyDescent="0.25">
      <c r="B16" s="27" t="s">
        <v>49</v>
      </c>
      <c r="C16" s="27">
        <f>EXP(F20+F19/298.15)</f>
        <v>2661.3096698599657</v>
      </c>
      <c r="E16" s="23" t="s">
        <v>40</v>
      </c>
      <c r="F16">
        <f>AVERAGE(F4:F12)</f>
        <v>7.2279609998331908</v>
      </c>
    </row>
    <row r="17" spans="1:11" x14ac:dyDescent="0.25">
      <c r="E17" s="23" t="s">
        <v>41</v>
      </c>
      <c r="F17">
        <f>AVERAGE(G4:G12)</f>
        <v>2.2808707381564857E-2</v>
      </c>
    </row>
    <row r="18" spans="1:11" s="4" customFormat="1" ht="14.4" customHeight="1" x14ac:dyDescent="0.25">
      <c r="A18"/>
      <c r="B18"/>
      <c r="C18"/>
      <c r="D18"/>
      <c r="E18" s="23" t="s">
        <v>76</v>
      </c>
      <c r="F18" s="43">
        <f>AVERAGE(H4:H12)</f>
        <v>9.9285675448253558E-6</v>
      </c>
      <c r="G18"/>
      <c r="H18"/>
      <c r="I18"/>
      <c r="K18"/>
    </row>
    <row r="19" spans="1:11" ht="14.4" customHeight="1" x14ac:dyDescent="0.25">
      <c r="E19" s="23" t="s">
        <v>51</v>
      </c>
      <c r="F19">
        <f>SLOPE(F4:F12,E4:E12)</f>
        <v>3202.5225693903767</v>
      </c>
    </row>
    <row r="20" spans="1:11" ht="14.4" customHeight="1" x14ac:dyDescent="0.25">
      <c r="E20" s="23" t="s">
        <v>50</v>
      </c>
      <c r="F20">
        <f>INTERCEPT(F4:F12,E4:E12)</f>
        <v>-2.8547396924726671</v>
      </c>
    </row>
    <row r="21" spans="1:11" x14ac:dyDescent="0.25">
      <c r="E21" s="23" t="s">
        <v>38</v>
      </c>
      <c r="F21">
        <f>PEARSON(E4:E12,F4:F12)</f>
        <v>0.99982162329532265</v>
      </c>
    </row>
    <row r="22" spans="1:11" x14ac:dyDescent="0.25">
      <c r="J22" s="30"/>
    </row>
    <row r="28" spans="1:11" x14ac:dyDescent="0.25">
      <c r="J28" s="30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三理论备用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 momooo</dc:creator>
  <cp:lastModifiedBy>Administrator momooo</cp:lastModifiedBy>
  <dcterms:created xsi:type="dcterms:W3CDTF">2025-12-20T10:44:27Z</dcterms:created>
  <dcterms:modified xsi:type="dcterms:W3CDTF">2025-12-26T10:05:50Z</dcterms:modified>
</cp:coreProperties>
</file>