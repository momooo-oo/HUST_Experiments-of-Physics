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新文件\3. 大二上\1. 学习资料\7. 物理实验\2. 稳态法测量导热系数\数据处理\"/>
    </mc:Choice>
  </mc:AlternateContent>
  <xr:revisionPtr revIDLastSave="0" documentId="13_ncr:1_{0F584DE7-8B17-4297-85C2-755731990FE0}" xr6:coauthVersionLast="47" xr6:coauthVersionMax="47" xr10:uidLastSave="{00000000-0000-0000-0000-000000000000}"/>
  <bookViews>
    <workbookView xWindow="-108" yWindow="-108" windowWidth="23256" windowHeight="13896" xr2:uid="{2C11B1F7-9573-481F-A8EB-2A429BE3E8E5}"/>
  </bookViews>
  <sheets>
    <sheet name="几何参数" sheetId="1" r:id="rId1"/>
    <sheet name="升温" sheetId="2" r:id="rId2"/>
    <sheet name="冷却 (画图)" sheetId="5" r:id="rId3"/>
    <sheet name="冷却" sheetId="3" r:id="rId4"/>
  </sheets>
  <definedNames>
    <definedName name="_xlnm._FilterDatabase" localSheetId="3" hidden="1">冷却!$A$4:$D$22</definedName>
    <definedName name="_xlnm._FilterDatabase" localSheetId="2" hidden="1">'冷却 (画图)'!$A$4:$D$22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" i="3" l="1"/>
  <c r="J19" i="3"/>
  <c r="M18" i="3"/>
  <c r="J18" i="3"/>
  <c r="J3" i="5"/>
  <c r="D18" i="5"/>
  <c r="D12" i="5"/>
  <c r="D10" i="5"/>
  <c r="D22" i="5"/>
  <c r="D8" i="5" l="1"/>
  <c r="D13" i="5"/>
  <c r="D19" i="5"/>
  <c r="D14" i="5"/>
  <c r="D15" i="5"/>
  <c r="D11" i="5"/>
  <c r="D20" i="5"/>
  <c r="D6" i="5"/>
  <c r="D21" i="5"/>
  <c r="D5" i="5"/>
  <c r="D9" i="5"/>
  <c r="D16" i="5"/>
  <c r="D7" i="5"/>
  <c r="D17" i="5"/>
  <c r="I4" i="2" l="1"/>
  <c r="I3" i="2"/>
  <c r="M17" i="3"/>
  <c r="M20" i="3" s="1"/>
  <c r="J22" i="1" s="1"/>
  <c r="J17" i="3"/>
  <c r="J16" i="3"/>
  <c r="L8" i="3" l="1"/>
  <c r="L9" i="3"/>
  <c r="L10" i="3"/>
  <c r="L11" i="3"/>
  <c r="L7" i="3"/>
  <c r="N7" i="3" l="1"/>
  <c r="N11" i="3"/>
  <c r="N10" i="3"/>
  <c r="M8" i="3"/>
  <c r="N8" i="3" s="1"/>
  <c r="M9" i="3"/>
  <c r="N9" i="3" s="1"/>
  <c r="M10" i="3"/>
  <c r="M11" i="3"/>
  <c r="M7" i="3"/>
  <c r="I8" i="1"/>
  <c r="N12" i="3" l="1"/>
  <c r="J22" i="3" s="1"/>
  <c r="J18" i="1" s="1"/>
  <c r="M12" i="3"/>
  <c r="M14" i="3" s="1"/>
  <c r="J21" i="1" s="1"/>
  <c r="L12" i="3"/>
  <c r="J19" i="1" l="1"/>
  <c r="J14" i="3"/>
  <c r="O7" i="3"/>
  <c r="O11" i="3"/>
  <c r="O10" i="3"/>
  <c r="O9" i="3"/>
  <c r="O8" i="3"/>
  <c r="C24" i="1"/>
  <c r="I3" i="1"/>
  <c r="C10" i="1"/>
  <c r="C21" i="1" s="1"/>
  <c r="C22" i="1" s="1"/>
  <c r="D10" i="1"/>
  <c r="F19" i="1" s="1"/>
  <c r="F20" i="1" s="1"/>
  <c r="E10" i="1"/>
  <c r="F21" i="1" s="1"/>
  <c r="F22" i="1" s="1"/>
  <c r="B10" i="1"/>
  <c r="C19" i="1" s="1"/>
  <c r="C20" i="1" s="1"/>
  <c r="J15" i="3" l="1"/>
  <c r="J20" i="3" s="1"/>
  <c r="J20" i="1" s="1"/>
  <c r="J26" i="1" s="1"/>
  <c r="C25" i="1"/>
  <c r="J24" i="1" s="1"/>
  <c r="J25" i="1" s="1"/>
  <c r="J29" i="1" s="1"/>
  <c r="J3" i="3"/>
  <c r="J27" i="1" l="1"/>
  <c r="Q29" i="1"/>
  <c r="D6" i="3"/>
  <c r="D12" i="3"/>
  <c r="D22" i="3"/>
  <c r="D16" i="3"/>
  <c r="D21" i="3"/>
  <c r="D19" i="3"/>
  <c r="D7" i="3"/>
  <c r="D18" i="3"/>
  <c r="D10" i="3"/>
  <c r="D13" i="3"/>
  <c r="D11" i="3"/>
  <c r="D17" i="3"/>
  <c r="D5" i="3"/>
  <c r="D20" i="3"/>
  <c r="D8" i="3"/>
  <c r="D15" i="3"/>
  <c r="D14" i="3"/>
  <c r="D9" i="3"/>
  <c r="J30" i="1" l="1"/>
  <c r="S29" i="1" s="1"/>
</calcChain>
</file>

<file path=xl/sharedStrings.xml><?xml version="1.0" encoding="utf-8"?>
<sst xmlns="http://schemas.openxmlformats.org/spreadsheetml/2006/main" count="173" uniqueCount="112">
  <si>
    <t>竖着填</t>
    <phoneticPr fontId="1" type="noConversion"/>
  </si>
  <si>
    <t>测量次数</t>
    <phoneticPr fontId="1" type="noConversion"/>
  </si>
  <si>
    <t>散热盘C</t>
    <phoneticPr fontId="1" type="noConversion"/>
  </si>
  <si>
    <t>样品盘B</t>
    <phoneticPr fontId="1" type="noConversion"/>
  </si>
  <si>
    <t>DC (cm)</t>
    <phoneticPr fontId="1" type="noConversion"/>
  </si>
  <si>
    <t>hC (cm)</t>
    <phoneticPr fontId="1" type="noConversion"/>
  </si>
  <si>
    <t>DB (cm)</t>
    <phoneticPr fontId="1" type="noConversion"/>
  </si>
  <si>
    <t>hB (cm)</t>
    <phoneticPr fontId="1" type="noConversion"/>
  </si>
  <si>
    <t>平均</t>
    <phoneticPr fontId="1" type="noConversion"/>
  </si>
  <si>
    <t>散热盘质量m (g)</t>
    <phoneticPr fontId="1" type="noConversion"/>
  </si>
  <si>
    <t>=</t>
    <phoneticPr fontId="1" type="noConversion"/>
  </si>
  <si>
    <t>kg</t>
    <phoneticPr fontId="1" type="noConversion"/>
  </si>
  <si>
    <t>升温过程观测</t>
    <phoneticPr fontId="1" type="noConversion"/>
  </si>
  <si>
    <t>稳态温度T1 bar (℃)</t>
    <phoneticPr fontId="1" type="noConversion"/>
  </si>
  <si>
    <t>稳态温度T2 bar (℃)</t>
    <phoneticPr fontId="1" type="noConversion"/>
  </si>
  <si>
    <t>冷却过程观测</t>
    <phoneticPr fontId="1" type="noConversion"/>
  </si>
  <si>
    <t>几何参数测量</t>
    <phoneticPr fontId="1" type="noConversion"/>
  </si>
  <si>
    <t>相关参数</t>
    <phoneticPr fontId="1" type="noConversion"/>
  </si>
  <si>
    <t>紫铜比热容c</t>
    <phoneticPr fontId="1" type="noConversion"/>
  </si>
  <si>
    <t>J/(kg·℃)</t>
    <phoneticPr fontId="1" type="noConversion"/>
  </si>
  <si>
    <t>g/cm^3</t>
    <phoneticPr fontId="1" type="noConversion"/>
  </si>
  <si>
    <r>
      <t>密度</t>
    </r>
    <r>
      <rPr>
        <sz val="11"/>
        <color theme="1"/>
        <rFont val="Calibri"/>
        <family val="2"/>
        <charset val="161"/>
      </rPr>
      <t>ρ</t>
    </r>
    <phoneticPr fontId="1" type="noConversion"/>
  </si>
  <si>
    <t>C盘</t>
    <phoneticPr fontId="1" type="noConversion"/>
  </si>
  <si>
    <t>T (℃)</t>
  </si>
  <si>
    <t>A盘</t>
    <phoneticPr fontId="1" type="noConversion"/>
  </si>
  <si>
    <t>时间</t>
    <phoneticPr fontId="1" type="noConversion"/>
  </si>
  <si>
    <t>t (s)</t>
    <phoneticPr fontId="1" type="noConversion"/>
  </si>
  <si>
    <t>T (℃)</t>
    <phoneticPr fontId="1" type="noConversion"/>
  </si>
  <si>
    <t>RC</t>
    <phoneticPr fontId="1" type="noConversion"/>
  </si>
  <si>
    <t>cm</t>
    <phoneticPr fontId="1" type="noConversion"/>
  </si>
  <si>
    <t xml:space="preserve">=  </t>
    <phoneticPr fontId="1" type="noConversion"/>
  </si>
  <si>
    <t>m</t>
    <phoneticPr fontId="1" type="noConversion"/>
  </si>
  <si>
    <t>hC</t>
    <phoneticPr fontId="1" type="noConversion"/>
  </si>
  <si>
    <t>RB</t>
    <phoneticPr fontId="1" type="noConversion"/>
  </si>
  <si>
    <t>hB</t>
    <phoneticPr fontId="1" type="noConversion"/>
  </si>
  <si>
    <t>K/s</t>
    <phoneticPr fontId="1" type="noConversion"/>
  </si>
  <si>
    <t>kg·m^-3</t>
    <phoneticPr fontId="1" type="noConversion"/>
  </si>
  <si>
    <t>与T2差值</t>
    <phoneticPr fontId="1" type="noConversion"/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</si>
  <si>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T (℃)</t>
    </r>
    <phoneticPr fontId="1" type="noConversion"/>
  </si>
  <si>
    <t>average</t>
    <phoneticPr fontId="1" type="noConversion"/>
  </si>
  <si>
    <t>这个应该都是150.00↑</t>
    <phoneticPr fontId="1" type="noConversion"/>
  </si>
  <si>
    <t>tp</t>
    <phoneticPr fontId="1" type="noConversion"/>
  </si>
  <si>
    <t>n=5, p=95.5%</t>
  </si>
  <si>
    <r>
      <t>Δ</t>
    </r>
    <r>
      <rPr>
        <sz val="11"/>
        <color theme="1"/>
        <rFont val="Calibri"/>
        <family val="2"/>
      </rPr>
      <t>T5</t>
    </r>
    <phoneticPr fontId="1" type="noConversion"/>
  </si>
  <si>
    <t>K</t>
    <phoneticPr fontId="1" type="noConversion"/>
  </si>
  <si>
    <t>与不确定度同末位</t>
    <phoneticPr fontId="9" type="noConversion"/>
  </si>
  <si>
    <t>保留一位</t>
    <phoneticPr fontId="9" type="noConversion"/>
  </si>
  <si>
    <t>↓↓↓</t>
    <phoneticPr fontId="9" type="noConversion"/>
  </si>
  <si>
    <t>±</t>
    <phoneticPr fontId="9" type="noConversion"/>
  </si>
  <si>
    <t>(P=95.5%)</t>
    <phoneticPr fontId="9" type="noConversion"/>
  </si>
  <si>
    <r>
      <t>冷却速率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T/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t | T2</t>
    </r>
    <phoneticPr fontId="1" type="noConversion"/>
  </si>
  <si>
    <t>所乘系数</t>
    <phoneticPr fontId="1" type="noConversion"/>
  </si>
  <si>
    <r>
      <rPr>
        <b/>
        <sz val="11"/>
        <color rgb="FFFF0000"/>
        <rFont val="宋体"/>
        <family val="3"/>
        <charset val="134"/>
      </rPr>
      <t>热导率不确定度</t>
    </r>
    <phoneticPr fontId="1" type="noConversion"/>
  </si>
  <si>
    <r>
      <rPr>
        <b/>
        <sz val="11"/>
        <color rgb="FFFF0000"/>
        <rFont val="宋体"/>
        <family val="3"/>
        <charset val="134"/>
      </rPr>
      <t>保留一位</t>
    </r>
    <phoneticPr fontId="1" type="noConversion"/>
  </si>
  <si>
    <r>
      <rPr>
        <b/>
        <sz val="11"/>
        <color rgb="FFFF0000"/>
        <rFont val="宋体"/>
        <family val="3"/>
        <charset val="134"/>
      </rPr>
      <t>样品盘</t>
    </r>
    <r>
      <rPr>
        <b/>
        <i/>
        <sz val="11"/>
        <color rgb="FFFF0000"/>
        <rFont val="Times New Roman"/>
        <family val="1"/>
      </rPr>
      <t>B</t>
    </r>
    <r>
      <rPr>
        <b/>
        <sz val="11"/>
        <color rgb="FFFF0000"/>
        <rFont val="宋体"/>
        <family val="3"/>
        <charset val="134"/>
      </rPr>
      <t>的热导率</t>
    </r>
    <r>
      <rPr>
        <b/>
        <i/>
        <sz val="11"/>
        <color rgb="FFFF0000"/>
        <rFont val="Times New Roman"/>
        <family val="1"/>
      </rPr>
      <t>λ</t>
    </r>
    <phoneticPr fontId="1" type="noConversion"/>
  </si>
  <si>
    <t>W·m⁻¹·K⁻¹</t>
    <phoneticPr fontId="1" type="noConversion"/>
  </si>
  <si>
    <t>|T(n)-T(n+5)|</t>
    <phoneticPr fontId="1" type="noConversion"/>
  </si>
  <si>
    <t>|t(n)-t(n+5)|</t>
    <phoneticPr fontId="1" type="noConversion"/>
  </si>
  <si>
    <r>
      <t>Δ</t>
    </r>
    <r>
      <rPr>
        <sz val="11"/>
        <color theme="1"/>
        <rFont val="Calibri"/>
        <family val="2"/>
      </rPr>
      <t>t</t>
    </r>
    <r>
      <rPr>
        <sz val="11"/>
        <color theme="1"/>
        <rFont val="宋体"/>
        <family val="3"/>
        <charset val="134"/>
      </rPr>
      <t>5</t>
    </r>
    <phoneticPr fontId="1" type="noConversion"/>
  </si>
  <si>
    <r>
      <t>Δ</t>
    </r>
    <r>
      <rPr>
        <sz val="11"/>
        <color theme="1"/>
        <rFont val="Calibri"/>
        <family val="2"/>
      </rPr>
      <t>T/</t>
    </r>
    <r>
      <rPr>
        <sz val="11"/>
        <color theme="1"/>
        <rFont val="Calibri"/>
        <family val="2"/>
        <charset val="161"/>
      </rPr>
      <t>Δt</t>
    </r>
    <phoneticPr fontId="1" type="noConversion"/>
  </si>
  <si>
    <t>K/s</t>
    <phoneticPr fontId="1" type="noConversion"/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</si>
  <si>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Calibri"/>
        <family val="2"/>
      </rPr>
      <t>T/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Calibri"/>
        <family val="2"/>
      </rPr>
      <t>t | T=T2</t>
    </r>
    <phoneticPr fontId="1" type="noConversion"/>
  </si>
  <si>
    <r>
      <t>(ΔTi-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  <charset val="161"/>
      </rPr>
      <t>ΔT bar</t>
    </r>
    <r>
      <rPr>
        <sz val="11"/>
        <color theme="1"/>
        <rFont val="Calibri"/>
        <family val="2"/>
      </rPr>
      <t>)</t>
    </r>
    <r>
      <rPr>
        <sz val="11"/>
        <color theme="1"/>
        <rFont val="宋体"/>
        <family val="2"/>
        <charset val="134"/>
      </rPr>
      <t>)^2</t>
    </r>
    <phoneticPr fontId="1" type="noConversion"/>
  </si>
  <si>
    <r>
      <t>uA(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T)</t>
    </r>
    <phoneticPr fontId="1" type="noConversion"/>
  </si>
  <si>
    <r>
      <t>uA(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t)</t>
    </r>
    <phoneticPr fontId="1" type="noConversion"/>
  </si>
  <si>
    <t>s</t>
    <phoneticPr fontId="1" type="noConversion"/>
  </si>
  <si>
    <r>
      <t>U(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T)</t>
    </r>
    <phoneticPr fontId="1" type="noConversion"/>
  </si>
  <si>
    <r>
      <t>U(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t)</t>
    </r>
    <phoneticPr fontId="1" type="noConversion"/>
  </si>
  <si>
    <t>s</t>
    <phoneticPr fontId="1" type="noConversion"/>
  </si>
  <si>
    <t>量程</t>
    <phoneticPr fontId="1" type="noConversion"/>
  </si>
  <si>
    <t xml:space="preserve">110℃   = </t>
    <phoneticPr fontId="1" type="noConversion"/>
  </si>
  <si>
    <t>K</t>
    <phoneticPr fontId="1" type="noConversion"/>
  </si>
  <si>
    <t>级别</t>
    <phoneticPr fontId="1" type="noConversion"/>
  </si>
  <si>
    <r>
      <t>uB(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T)</t>
    </r>
    <phoneticPr fontId="1" type="noConversion"/>
  </si>
  <si>
    <r>
      <t>uB(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t)</t>
    </r>
    <phoneticPr fontId="1" type="noConversion"/>
  </si>
  <si>
    <t>之后的计算看Sheet1</t>
    <phoneticPr fontId="1" type="noConversion"/>
  </si>
  <si>
    <t>自动引用，不用填</t>
    <phoneticPr fontId="1" type="noConversion"/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</si>
  <si>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Calibri"/>
        <family val="2"/>
      </rPr>
      <t>T bar</t>
    </r>
    <phoneticPr fontId="1" type="noConversion"/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</si>
  <si>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Calibri"/>
        <family val="2"/>
      </rPr>
      <t xml:space="preserve">T </t>
    </r>
    <r>
      <rPr>
        <sz val="11"/>
        <color theme="1"/>
        <rFont val="宋体"/>
        <family val="2"/>
        <charset val="134"/>
      </rPr>
      <t>bar</t>
    </r>
    <phoneticPr fontId="1" type="noConversion"/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</si>
  <si>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Calibri"/>
        <family val="2"/>
      </rPr>
      <t xml:space="preserve">t </t>
    </r>
    <r>
      <rPr>
        <sz val="11"/>
        <color theme="1"/>
        <rFont val="宋体"/>
        <family val="2"/>
        <charset val="134"/>
      </rPr>
      <t>bar</t>
    </r>
    <phoneticPr fontId="1" type="noConversion"/>
  </si>
  <si>
    <r>
      <t>Δ</t>
    </r>
    <r>
      <rPr>
        <sz val="11"/>
        <color theme="1"/>
        <rFont val="宋体"/>
        <family val="2"/>
        <charset val="134"/>
      </rPr>
      <t>t</t>
    </r>
    <r>
      <rPr>
        <sz val="11"/>
        <color theme="1"/>
        <rFont val="Calibri"/>
        <family val="2"/>
      </rPr>
      <t xml:space="preserve"> bar</t>
    </r>
    <phoneticPr fontId="1" type="noConversion"/>
  </si>
  <si>
    <t>单位略</t>
    <phoneticPr fontId="1" type="noConversion"/>
  </si>
  <si>
    <r>
      <rPr>
        <sz val="11"/>
        <color theme="1"/>
        <rFont val="Calibri"/>
        <family val="2"/>
        <charset val="161"/>
      </rPr>
      <t>λ</t>
    </r>
    <r>
      <rPr>
        <sz val="11"/>
        <color theme="1"/>
        <rFont val="宋体"/>
        <family val="2"/>
        <charset val="134"/>
      </rPr>
      <t>相对不确定度</t>
    </r>
    <phoneticPr fontId="1" type="noConversion"/>
  </si>
  <si>
    <t>W·m⁻¹·K⁻¹</t>
  </si>
  <si>
    <r>
      <rPr>
        <sz val="11"/>
        <color theme="1"/>
        <rFont val="Calibri"/>
        <family val="2"/>
        <charset val="161"/>
      </rPr>
      <t>λ</t>
    </r>
    <r>
      <rPr>
        <sz val="11"/>
        <color theme="1"/>
        <rFont val="宋体"/>
        <family val="2"/>
        <charset val="134"/>
      </rPr>
      <t>不确定度</t>
    </r>
    <phoneticPr fontId="1" type="noConversion"/>
  </si>
  <si>
    <r>
      <rPr>
        <sz val="11"/>
        <color theme="1"/>
        <rFont val="Calibri"/>
        <family val="2"/>
        <charset val="161"/>
      </rPr>
      <t>λ</t>
    </r>
    <r>
      <rPr>
        <sz val="11"/>
        <color theme="1"/>
        <rFont val="宋体"/>
        <family val="2"/>
        <charset val="134"/>
      </rPr>
      <t>值</t>
    </r>
    <phoneticPr fontId="1" type="noConversion"/>
  </si>
  <si>
    <t>最后五组数据粘在下面</t>
    <phoneticPr fontId="1" type="noConversion"/>
  </si>
  <si>
    <t>W·m⁻¹·K⁻¹</t>
    <phoneticPr fontId="9" type="noConversion"/>
  </si>
  <si>
    <r>
      <rPr>
        <sz val="11"/>
        <color theme="1"/>
        <rFont val="宋体"/>
        <family val="2"/>
        <charset val="134"/>
      </rPr>
      <t>结果表达：</t>
    </r>
    <phoneticPr fontId="9" type="noConversion"/>
  </si>
  <si>
    <r>
      <rPr>
        <i/>
        <sz val="11"/>
        <color theme="1"/>
        <rFont val="Times New Roman"/>
        <family val="1"/>
      </rPr>
      <t xml:space="preserve">λ  </t>
    </r>
    <r>
      <rPr>
        <sz val="11"/>
        <color theme="1"/>
        <rFont val="Times New Roman"/>
        <family val="1"/>
      </rPr>
      <t xml:space="preserve"> =</t>
    </r>
    <phoneticPr fontId="9" type="noConversion"/>
  </si>
  <si>
    <t>请自行判断
有效数字位数！！！</t>
    <phoneticPr fontId="1" type="noConversion"/>
  </si>
  <si>
    <t>T1</t>
    <phoneticPr fontId="1" type="noConversion"/>
  </si>
  <si>
    <t>T2</t>
    <phoneticPr fontId="1" type="noConversion"/>
  </si>
  <si>
    <t>℃</t>
    <phoneticPr fontId="1" type="noConversion"/>
  </si>
  <si>
    <t>以下计算区（不用填）</t>
    <phoneticPr fontId="1" type="noConversion"/>
  </si>
  <si>
    <t>材料(1硅胶，2胶木)</t>
    <phoneticPr fontId="1" type="noConversion"/>
  </si>
  <si>
    <t>机械学院 24级 momooo</t>
    <phoneticPr fontId="1" type="noConversion"/>
  </si>
  <si>
    <t>Last Updated:</t>
    <phoneticPr fontId="1" type="noConversion"/>
  </si>
  <si>
    <t>制作:</t>
    <phoneticPr fontId="9" type="noConversion"/>
  </si>
  <si>
    <t>这张表可以不填</t>
    <phoneticPr fontId="1" type="noConversion"/>
  </si>
  <si>
    <t>这张表要填</t>
    <phoneticPr fontId="1" type="noConversion"/>
  </si>
  <si>
    <t>自动引用</t>
    <phoneticPr fontId="1" type="noConversion"/>
  </si>
  <si>
    <t>自动引用</t>
    <phoneticPr fontId="1" type="noConversion"/>
  </si>
  <si>
    <t>图见Sheet3</t>
    <phoneticPr fontId="1" type="noConversion"/>
  </si>
  <si>
    <t>说明：只用填蓝底部分，其他数值自动计算</t>
    <phoneticPr fontId="1" type="noConversion"/>
  </si>
  <si>
    <t>先把四张sheet填完，
再看下面的数据！！！</t>
    <phoneticPr fontId="1" type="noConversion"/>
  </si>
  <si>
    <t>K·s^-1</t>
    <phoneticPr fontId="1" type="noConversion"/>
  </si>
  <si>
    <t>2025.11.23  10:51</t>
    <phoneticPr fontId="1" type="noConversion"/>
  </si>
  <si>
    <t>v0.1</t>
    <phoneticPr fontId="1" type="noConversion"/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</si>
  <si>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仪</t>
    </r>
    <phoneticPr fontId="1" type="noConversion"/>
  </si>
  <si>
    <t>K</t>
    <phoneticPr fontId="1" type="noConversion"/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</si>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</sst>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.000E+00"/>
    <numFmt numFmtId="179" formatCode="0.0E+00"/>
    <numFmt numFmtId="180" formatCode="0.00_);[Red]\(0.00\)"/>
  </numFmts>
  <fonts count="18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b/>
      <sz val="11"/>
      <color rgb="FFFF0000"/>
      <name val="宋体"/>
      <family val="3"/>
      <charset val="134"/>
    </font>
    <font>
      <sz val="11"/>
      <color theme="1"/>
      <name val="Calibri"/>
      <family val="2"/>
      <charset val="161"/>
    </font>
    <font>
      <i/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b/>
      <u/>
      <sz val="18"/>
      <color rgb="FFFFFF00"/>
      <name val="宋体"/>
      <family val="3"/>
      <charset val="134"/>
    </font>
    <font>
      <sz val="11"/>
      <color theme="1"/>
      <name val="Calibri"/>
      <family val="2"/>
    </font>
    <font>
      <sz val="11"/>
      <color theme="1"/>
      <name val="宋体"/>
      <family val="2"/>
      <charset val="161"/>
    </font>
    <font>
      <sz val="9"/>
      <name val="等线"/>
      <family val="3"/>
      <charset val="134"/>
      <scheme val="minor"/>
    </font>
    <font>
      <b/>
      <sz val="11"/>
      <color rgb="FFFF0000"/>
      <name val="Times New Roman"/>
      <family val="1"/>
    </font>
    <font>
      <b/>
      <i/>
      <sz val="11"/>
      <color rgb="FFFF0000"/>
      <name val="Times New Roman"/>
      <family val="1"/>
    </font>
    <font>
      <b/>
      <sz val="11"/>
      <color rgb="FFFF0000"/>
      <name val="Times New Roman"/>
      <family val="3"/>
      <charset val="134"/>
    </font>
    <font>
      <sz val="11"/>
      <color theme="1"/>
      <name val="宋体"/>
      <family val="2"/>
      <charset val="134"/>
    </font>
    <font>
      <sz val="10"/>
      <color theme="1"/>
      <name val="Times New Roman"/>
      <family val="1"/>
    </font>
    <font>
      <sz val="11"/>
      <color theme="1"/>
      <name val="宋体"/>
      <family val="3"/>
      <charset val="134"/>
    </font>
    <font>
      <i/>
      <sz val="11"/>
      <color theme="1"/>
      <name val="Times New Roman"/>
      <family val="1"/>
    </font>
    <font>
      <b/>
      <sz val="11"/>
      <color rgb="FFFFFF00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13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7" fontId="0" fillId="3" borderId="1" xfId="0" applyNumberFormat="1" applyFill="1" applyBorder="1">
      <alignment vertical="center"/>
    </xf>
    <xf numFmtId="177" fontId="0" fillId="4" borderId="1" xfId="0" applyNumberFormat="1" applyFill="1" applyBorder="1">
      <alignment vertical="center"/>
    </xf>
    <xf numFmtId="0" fontId="0" fillId="0" borderId="0" xfId="0" applyAlignment="1">
      <alignment horizontal="right"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right" vertical="center"/>
    </xf>
    <xf numFmtId="0" fontId="0" fillId="0" borderId="4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6" fontId="0" fillId="3" borderId="1" xfId="0" applyNumberFormat="1" applyFill="1" applyBorder="1">
      <alignment vertical="center"/>
    </xf>
    <xf numFmtId="0" fontId="0" fillId="0" borderId="10" xfId="0" applyBorder="1" applyAlignment="1">
      <alignment horizontal="right" vertical="center"/>
    </xf>
    <xf numFmtId="176" fontId="0" fillId="4" borderId="1" xfId="0" applyNumberFormat="1" applyFill="1" applyBorder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2" fontId="0" fillId="3" borderId="1" xfId="0" applyNumberFormat="1" applyFill="1" applyBorder="1">
      <alignment vertical="center"/>
    </xf>
    <xf numFmtId="0" fontId="0" fillId="0" borderId="0" xfId="0" quotePrefix="1" applyAlignment="1">
      <alignment horizontal="right" vertical="center"/>
    </xf>
    <xf numFmtId="0" fontId="4" fillId="0" borderId="0" xfId="0" applyFont="1">
      <alignment vertical="center"/>
    </xf>
    <xf numFmtId="178" fontId="0" fillId="0" borderId="0" xfId="0" applyNumberFormat="1">
      <alignment vertical="center"/>
    </xf>
    <xf numFmtId="0" fontId="8" fillId="0" borderId="0" xfId="0" applyFont="1">
      <alignment vertical="center"/>
    </xf>
    <xf numFmtId="179" fontId="0" fillId="0" borderId="0" xfId="0" applyNumberFormat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2" fontId="0" fillId="0" borderId="1" xfId="0" applyNumberFormat="1" applyBorder="1">
      <alignment vertical="center"/>
    </xf>
    <xf numFmtId="176" fontId="0" fillId="5" borderId="1" xfId="0" applyNumberFormat="1" applyFill="1" applyBorder="1">
      <alignment vertical="center"/>
    </xf>
    <xf numFmtId="0" fontId="0" fillId="0" borderId="4" xfId="0" applyBorder="1" applyAlignment="1">
      <alignment horizontal="right" vertical="center"/>
    </xf>
    <xf numFmtId="176" fontId="0" fillId="0" borderId="3" xfId="0" applyNumberFormat="1" applyBorder="1">
      <alignment vertical="center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5" fillId="2" borderId="6" xfId="0" applyFont="1" applyFill="1" applyBorder="1" applyAlignment="1">
      <alignment horizontal="right"/>
    </xf>
    <xf numFmtId="0" fontId="0" fillId="2" borderId="7" xfId="0" applyFill="1" applyBorder="1">
      <alignment vertical="center"/>
    </xf>
    <xf numFmtId="0" fontId="10" fillId="2" borderId="6" xfId="0" applyFont="1" applyFill="1" applyBorder="1">
      <alignment vertical="center"/>
    </xf>
    <xf numFmtId="0" fontId="10" fillId="2" borderId="9" xfId="0" applyFont="1" applyFill="1" applyBorder="1">
      <alignment vertical="center"/>
    </xf>
    <xf numFmtId="0" fontId="10" fillId="2" borderId="7" xfId="0" applyFont="1" applyFill="1" applyBorder="1">
      <alignment vertical="center"/>
    </xf>
    <xf numFmtId="0" fontId="10" fillId="2" borderId="8" xfId="0" applyFont="1" applyFill="1" applyBorder="1">
      <alignment vertical="center"/>
    </xf>
    <xf numFmtId="0" fontId="10" fillId="2" borderId="10" xfId="0" applyFont="1" applyFill="1" applyBorder="1">
      <alignment vertical="center"/>
    </xf>
    <xf numFmtId="0" fontId="12" fillId="2" borderId="5" xfId="0" applyFont="1" applyFill="1" applyBorder="1" applyAlignment="1">
      <alignment horizontal="left" vertical="center"/>
    </xf>
    <xf numFmtId="0" fontId="0" fillId="2" borderId="10" xfId="0" applyFill="1" applyBorder="1">
      <alignment vertical="center"/>
    </xf>
    <xf numFmtId="0" fontId="2" fillId="2" borderId="5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2" fontId="0" fillId="0" borderId="0" xfId="0" applyNumberFormat="1">
      <alignment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5" fillId="2" borderId="7" xfId="0" applyFont="1" applyFill="1" applyBorder="1" applyAlignment="1">
      <alignment horizontal="left"/>
    </xf>
    <xf numFmtId="0" fontId="5" fillId="2" borderId="5" xfId="0" applyFont="1" applyFill="1" applyBorder="1" applyAlignment="1"/>
    <xf numFmtId="0" fontId="5" fillId="2" borderId="6" xfId="0" applyFont="1" applyFill="1" applyBorder="1" applyAlignment="1"/>
    <xf numFmtId="0" fontId="5" fillId="2" borderId="8" xfId="0" applyFont="1" applyFill="1" applyBorder="1" applyAlignment="1"/>
    <xf numFmtId="0" fontId="5" fillId="2" borderId="9" xfId="0" applyFont="1" applyFill="1" applyBorder="1" applyAlignment="1"/>
    <xf numFmtId="0" fontId="5" fillId="2" borderId="9" xfId="0" applyFont="1" applyFill="1" applyBorder="1" applyAlignment="1">
      <alignment horizontal="right"/>
    </xf>
    <xf numFmtId="10" fontId="5" fillId="2" borderId="10" xfId="0" applyNumberFormat="1" applyFont="1" applyFill="1" applyBorder="1" applyAlignment="1">
      <alignment horizontal="left"/>
    </xf>
    <xf numFmtId="180" fontId="5" fillId="2" borderId="6" xfId="0" applyNumberFormat="1" applyFont="1" applyFill="1" applyBorder="1" applyAlignment="1">
      <alignment horizontal="left"/>
    </xf>
    <xf numFmtId="2" fontId="5" fillId="2" borderId="6" xfId="0" applyNumberFormat="1" applyFont="1" applyFill="1" applyBorder="1" applyAlignment="1">
      <alignment horizontal="right"/>
    </xf>
    <xf numFmtId="0" fontId="0" fillId="3" borderId="3" xfId="0" applyFill="1" applyBorder="1" applyAlignment="1">
      <alignment horizontal="center" vertical="center"/>
    </xf>
    <xf numFmtId="0" fontId="17" fillId="9" borderId="1" xfId="0" applyFont="1" applyFill="1" applyBorder="1">
      <alignment vertical="center"/>
    </xf>
    <xf numFmtId="0" fontId="17" fillId="9" borderId="2" xfId="0" applyFont="1" applyFill="1" applyBorder="1">
      <alignment vertical="center"/>
    </xf>
    <xf numFmtId="0" fontId="0" fillId="9" borderId="3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176" fontId="0" fillId="4" borderId="3" xfId="0" applyNumberFormat="1" applyFill="1" applyBorder="1">
      <alignment vertical="center"/>
    </xf>
    <xf numFmtId="0" fontId="6" fillId="9" borderId="5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0" xfId="1" applyNumberFormat="1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r>
              <a:rPr lang="zh-CN" altLang="en-US"/>
              <a:t>图</a:t>
            </a:r>
            <a:r>
              <a:rPr lang="en-US" altLang="zh-CN"/>
              <a:t>2   A</a:t>
            </a:r>
            <a:r>
              <a:rPr lang="zh-CN" altLang="en-US"/>
              <a:t>盘与</a:t>
            </a:r>
            <a:r>
              <a:rPr lang="en-US" altLang="zh-CN"/>
              <a:t>C</a:t>
            </a:r>
            <a:r>
              <a:rPr lang="zh-CN" altLang="en-US"/>
              <a:t>盘的升温曲线</a:t>
            </a:r>
            <a:endParaRPr lang="zh-CN"/>
          </a:p>
        </c:rich>
      </c:tx>
      <c:layout>
        <c:manualLayout>
          <c:xMode val="edge"/>
          <c:yMode val="edge"/>
          <c:x val="0.2905082212257100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874914178328606"/>
          <c:y val="0.20942048437127178"/>
          <c:w val="0.81928035340873884"/>
          <c:h val="0.5663203889286566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升温!$C$3</c:f>
              <c:strCache>
                <c:ptCount val="1"/>
                <c:pt idx="0">
                  <c:v>A盘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升温!$B$5:$B$41</c:f>
              <c:numCache>
                <c:formatCode>0.0</c:formatCode>
                <c:ptCount val="37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960</c:v>
                </c:pt>
                <c:pt idx="9">
                  <c:v>1080</c:v>
                </c:pt>
                <c:pt idx="10">
                  <c:v>1200</c:v>
                </c:pt>
                <c:pt idx="11">
                  <c:v>1320</c:v>
                </c:pt>
                <c:pt idx="12">
                  <c:v>1440</c:v>
                </c:pt>
                <c:pt idx="13">
                  <c:v>1560</c:v>
                </c:pt>
                <c:pt idx="14">
                  <c:v>1680</c:v>
                </c:pt>
                <c:pt idx="15">
                  <c:v>1800</c:v>
                </c:pt>
                <c:pt idx="16">
                  <c:v>1920</c:v>
                </c:pt>
                <c:pt idx="17">
                  <c:v>2040</c:v>
                </c:pt>
                <c:pt idx="18">
                  <c:v>2160</c:v>
                </c:pt>
                <c:pt idx="19">
                  <c:v>2280</c:v>
                </c:pt>
                <c:pt idx="20">
                  <c:v>2400</c:v>
                </c:pt>
                <c:pt idx="21">
                  <c:v>2520</c:v>
                </c:pt>
                <c:pt idx="22">
                  <c:v>2640</c:v>
                </c:pt>
                <c:pt idx="23">
                  <c:v>2760</c:v>
                </c:pt>
                <c:pt idx="24">
                  <c:v>2880</c:v>
                </c:pt>
                <c:pt idx="25">
                  <c:v>3000</c:v>
                </c:pt>
                <c:pt idx="26">
                  <c:v>3120</c:v>
                </c:pt>
                <c:pt idx="27">
                  <c:v>3240</c:v>
                </c:pt>
                <c:pt idx="28">
                  <c:v>3360</c:v>
                </c:pt>
                <c:pt idx="29">
                  <c:v>3480</c:v>
                </c:pt>
                <c:pt idx="30">
                  <c:v>3600</c:v>
                </c:pt>
                <c:pt idx="31">
                  <c:v>3720</c:v>
                </c:pt>
                <c:pt idx="32">
                  <c:v>4020</c:v>
                </c:pt>
                <c:pt idx="33">
                  <c:v>4320</c:v>
                </c:pt>
                <c:pt idx="34">
                  <c:v>4620</c:v>
                </c:pt>
                <c:pt idx="35">
                  <c:v>4920</c:v>
                </c:pt>
                <c:pt idx="36">
                  <c:v>5220</c:v>
                </c:pt>
              </c:numCache>
            </c:numRef>
          </c:xVal>
          <c:yVal>
            <c:numRef>
              <c:f>升温!$C$5:$C$41</c:f>
              <c:numCache>
                <c:formatCode>0.0</c:formatCode>
                <c:ptCount val="37"/>
                <c:pt idx="0">
                  <c:v>19.899999999999999</c:v>
                </c:pt>
                <c:pt idx="1">
                  <c:v>30</c:v>
                </c:pt>
                <c:pt idx="2">
                  <c:v>38.700000000000003</c:v>
                </c:pt>
                <c:pt idx="3">
                  <c:v>46.2</c:v>
                </c:pt>
                <c:pt idx="4">
                  <c:v>52.7</c:v>
                </c:pt>
                <c:pt idx="5">
                  <c:v>58.4</c:v>
                </c:pt>
                <c:pt idx="6">
                  <c:v>58.6</c:v>
                </c:pt>
                <c:pt idx="7">
                  <c:v>59.1</c:v>
                </c:pt>
                <c:pt idx="8">
                  <c:v>59.1</c:v>
                </c:pt>
                <c:pt idx="9">
                  <c:v>59.1</c:v>
                </c:pt>
                <c:pt idx="10">
                  <c:v>59.1</c:v>
                </c:pt>
                <c:pt idx="11">
                  <c:v>59</c:v>
                </c:pt>
                <c:pt idx="12">
                  <c:v>59</c:v>
                </c:pt>
                <c:pt idx="13">
                  <c:v>59</c:v>
                </c:pt>
                <c:pt idx="14">
                  <c:v>59</c:v>
                </c:pt>
                <c:pt idx="15">
                  <c:v>59</c:v>
                </c:pt>
                <c:pt idx="16">
                  <c:v>59</c:v>
                </c:pt>
                <c:pt idx="17">
                  <c:v>58.8</c:v>
                </c:pt>
                <c:pt idx="18">
                  <c:v>58.9</c:v>
                </c:pt>
                <c:pt idx="19">
                  <c:v>58.9</c:v>
                </c:pt>
                <c:pt idx="20">
                  <c:v>58.9</c:v>
                </c:pt>
                <c:pt idx="21">
                  <c:v>58.8</c:v>
                </c:pt>
                <c:pt idx="22">
                  <c:v>58.8</c:v>
                </c:pt>
                <c:pt idx="23">
                  <c:v>58.8</c:v>
                </c:pt>
                <c:pt idx="24">
                  <c:v>58.8</c:v>
                </c:pt>
                <c:pt idx="25">
                  <c:v>58.8</c:v>
                </c:pt>
                <c:pt idx="26">
                  <c:v>58.8</c:v>
                </c:pt>
                <c:pt idx="27">
                  <c:v>58.9</c:v>
                </c:pt>
                <c:pt idx="28">
                  <c:v>58.8</c:v>
                </c:pt>
                <c:pt idx="29">
                  <c:v>58.9</c:v>
                </c:pt>
                <c:pt idx="30">
                  <c:v>58.9</c:v>
                </c:pt>
                <c:pt idx="31">
                  <c:v>58.8</c:v>
                </c:pt>
                <c:pt idx="32">
                  <c:v>58.8</c:v>
                </c:pt>
                <c:pt idx="33">
                  <c:v>58.8</c:v>
                </c:pt>
                <c:pt idx="34">
                  <c:v>58.8</c:v>
                </c:pt>
                <c:pt idx="35">
                  <c:v>58.9</c:v>
                </c:pt>
                <c:pt idx="36">
                  <c:v>58.8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54-4162-AE35-90E9C17CE1B1}"/>
            </c:ext>
          </c:extLst>
        </c:ser>
        <c:ser>
          <c:idx val="1"/>
          <c:order val="1"/>
          <c:tx>
            <c:strRef>
              <c:f>升温!$D$3</c:f>
              <c:strCache>
                <c:ptCount val="1"/>
                <c:pt idx="0">
                  <c:v>C盘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升温!$B$5:$B$41</c:f>
              <c:numCache>
                <c:formatCode>0.0</c:formatCode>
                <c:ptCount val="37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960</c:v>
                </c:pt>
                <c:pt idx="9">
                  <c:v>1080</c:v>
                </c:pt>
                <c:pt idx="10">
                  <c:v>1200</c:v>
                </c:pt>
                <c:pt idx="11">
                  <c:v>1320</c:v>
                </c:pt>
                <c:pt idx="12">
                  <c:v>1440</c:v>
                </c:pt>
                <c:pt idx="13">
                  <c:v>1560</c:v>
                </c:pt>
                <c:pt idx="14">
                  <c:v>1680</c:v>
                </c:pt>
                <c:pt idx="15">
                  <c:v>1800</c:v>
                </c:pt>
                <c:pt idx="16">
                  <c:v>1920</c:v>
                </c:pt>
                <c:pt idx="17">
                  <c:v>2040</c:v>
                </c:pt>
                <c:pt idx="18">
                  <c:v>2160</c:v>
                </c:pt>
                <c:pt idx="19">
                  <c:v>2280</c:v>
                </c:pt>
                <c:pt idx="20">
                  <c:v>2400</c:v>
                </c:pt>
                <c:pt idx="21">
                  <c:v>2520</c:v>
                </c:pt>
                <c:pt idx="22">
                  <c:v>2640</c:v>
                </c:pt>
                <c:pt idx="23">
                  <c:v>2760</c:v>
                </c:pt>
                <c:pt idx="24">
                  <c:v>2880</c:v>
                </c:pt>
                <c:pt idx="25">
                  <c:v>3000</c:v>
                </c:pt>
                <c:pt idx="26">
                  <c:v>3120</c:v>
                </c:pt>
                <c:pt idx="27">
                  <c:v>3240</c:v>
                </c:pt>
                <c:pt idx="28">
                  <c:v>3360</c:v>
                </c:pt>
                <c:pt idx="29">
                  <c:v>3480</c:v>
                </c:pt>
                <c:pt idx="30">
                  <c:v>3600</c:v>
                </c:pt>
                <c:pt idx="31">
                  <c:v>3720</c:v>
                </c:pt>
                <c:pt idx="32">
                  <c:v>4020</c:v>
                </c:pt>
                <c:pt idx="33">
                  <c:v>4320</c:v>
                </c:pt>
                <c:pt idx="34">
                  <c:v>4620</c:v>
                </c:pt>
                <c:pt idx="35">
                  <c:v>4920</c:v>
                </c:pt>
                <c:pt idx="36">
                  <c:v>5220</c:v>
                </c:pt>
              </c:numCache>
            </c:numRef>
          </c:xVal>
          <c:yVal>
            <c:numRef>
              <c:f>升温!$D$5:$D$41</c:f>
              <c:numCache>
                <c:formatCode>0.0</c:formatCode>
                <c:ptCount val="37"/>
                <c:pt idx="0">
                  <c:v>19.899999999999999</c:v>
                </c:pt>
                <c:pt idx="1">
                  <c:v>20.399999999999999</c:v>
                </c:pt>
                <c:pt idx="2">
                  <c:v>20.8</c:v>
                </c:pt>
                <c:pt idx="3">
                  <c:v>21.9</c:v>
                </c:pt>
                <c:pt idx="4">
                  <c:v>23.4</c:v>
                </c:pt>
                <c:pt idx="5">
                  <c:v>25.3</c:v>
                </c:pt>
                <c:pt idx="6">
                  <c:v>27.5</c:v>
                </c:pt>
                <c:pt idx="7">
                  <c:v>29.7</c:v>
                </c:pt>
                <c:pt idx="8">
                  <c:v>31.6</c:v>
                </c:pt>
                <c:pt idx="9">
                  <c:v>33.299999999999997</c:v>
                </c:pt>
                <c:pt idx="10">
                  <c:v>34.799999999999997</c:v>
                </c:pt>
                <c:pt idx="11">
                  <c:v>36.1</c:v>
                </c:pt>
                <c:pt idx="12">
                  <c:v>37.299999999999997</c:v>
                </c:pt>
                <c:pt idx="13">
                  <c:v>38.4</c:v>
                </c:pt>
                <c:pt idx="14">
                  <c:v>39.200000000000003</c:v>
                </c:pt>
                <c:pt idx="15">
                  <c:v>39.9</c:v>
                </c:pt>
                <c:pt idx="16">
                  <c:v>40.6</c:v>
                </c:pt>
                <c:pt idx="17">
                  <c:v>41.2</c:v>
                </c:pt>
                <c:pt idx="18">
                  <c:v>41.7</c:v>
                </c:pt>
                <c:pt idx="19">
                  <c:v>42.1</c:v>
                </c:pt>
                <c:pt idx="20">
                  <c:v>42.5</c:v>
                </c:pt>
                <c:pt idx="21">
                  <c:v>42.8</c:v>
                </c:pt>
                <c:pt idx="22">
                  <c:v>43.1</c:v>
                </c:pt>
                <c:pt idx="23">
                  <c:v>43.3</c:v>
                </c:pt>
                <c:pt idx="24">
                  <c:v>43.5</c:v>
                </c:pt>
                <c:pt idx="25">
                  <c:v>43.7</c:v>
                </c:pt>
                <c:pt idx="26">
                  <c:v>43.9</c:v>
                </c:pt>
                <c:pt idx="27">
                  <c:v>44</c:v>
                </c:pt>
                <c:pt idx="28">
                  <c:v>44.2</c:v>
                </c:pt>
                <c:pt idx="29">
                  <c:v>44.3</c:v>
                </c:pt>
                <c:pt idx="30">
                  <c:v>44.4</c:v>
                </c:pt>
                <c:pt idx="31">
                  <c:v>44.5</c:v>
                </c:pt>
                <c:pt idx="32">
                  <c:v>44.7</c:v>
                </c:pt>
                <c:pt idx="33">
                  <c:v>44.8</c:v>
                </c:pt>
                <c:pt idx="34">
                  <c:v>44.9</c:v>
                </c:pt>
                <c:pt idx="35">
                  <c:v>44.9</c:v>
                </c:pt>
                <c:pt idx="36">
                  <c:v>44.9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54-4162-AE35-90E9C17CE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36656"/>
        <c:axId val="98738096"/>
      </c:scatterChart>
      <c:valAx>
        <c:axId val="9873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楷体" panose="02010609060101010101" pitchFamily="49" charset="-122"/>
                    <a:cs typeface="Times New Roman" panose="02020603050405020304" pitchFamily="18" charset="0"/>
                  </a:defRPr>
                </a:pPr>
                <a:r>
                  <a:rPr lang="zh-CN" altLang="en-US" sz="1100"/>
                  <a:t>时间</a:t>
                </a:r>
                <a:r>
                  <a:rPr lang="en-US" altLang="zh-CN" sz="1100" i="1"/>
                  <a:t>t</a:t>
                </a:r>
                <a:r>
                  <a:rPr lang="en-US" altLang="zh-CN" sz="1100"/>
                  <a:t> (</a:t>
                </a:r>
                <a:r>
                  <a:rPr lang="en-US" altLang="zh-CN" sz="1100" i="0"/>
                  <a:t>s</a:t>
                </a:r>
                <a:r>
                  <a:rPr lang="en-US" altLang="zh-CN" sz="1100"/>
                  <a:t>)</a:t>
                </a:r>
                <a:endParaRPr lang="zh-CN" altLang="en-US" sz="1100"/>
              </a:p>
            </c:rich>
          </c:tx>
          <c:layout>
            <c:manualLayout>
              <c:xMode val="edge"/>
              <c:yMode val="edge"/>
              <c:x val="0.87774384143686091"/>
              <c:y val="0.84507188021951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楷体" panose="02010609060101010101" pitchFamily="49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98738096"/>
        <c:crosses val="autoZero"/>
        <c:crossBetween val="midCat"/>
      </c:valAx>
      <c:valAx>
        <c:axId val="9873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楷体" panose="02010609060101010101" pitchFamily="49" charset="-122"/>
                    <a:cs typeface="Times New Roman" panose="02020603050405020304" pitchFamily="18" charset="0"/>
                  </a:defRPr>
                </a:pPr>
                <a:r>
                  <a:rPr lang="zh-CN" altLang="en-US" sz="1100"/>
                  <a:t>温度</a:t>
                </a:r>
                <a:r>
                  <a:rPr lang="en-US" altLang="zh-CN" sz="1100" i="1"/>
                  <a:t>T </a:t>
                </a:r>
                <a:r>
                  <a:rPr lang="en-US" altLang="zh-CN" sz="1100"/>
                  <a:t>(</a:t>
                </a:r>
                <a:r>
                  <a:rPr lang="zh-CN" altLang="en-US" sz="1100"/>
                  <a:t>℃</a:t>
                </a:r>
                <a:r>
                  <a:rPr lang="en-US" altLang="zh-CN" sz="1100"/>
                  <a:t>)</a:t>
                </a:r>
                <a:endParaRPr lang="zh-CN" altLang="en-US" sz="1100"/>
              </a:p>
            </c:rich>
          </c:tx>
          <c:layout>
            <c:manualLayout>
              <c:xMode val="edge"/>
              <c:yMode val="edge"/>
              <c:x val="1.8919215815511849E-2"/>
              <c:y val="0.10474588403722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楷体" panose="02010609060101010101" pitchFamily="49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98736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338439912584155"/>
          <c:y val="0.88588416766810751"/>
          <c:w val="0.25494784004017434"/>
          <c:h val="6.8401932712956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r>
              <a:rPr lang="zh-CN" altLang="en-US"/>
              <a:t>图</a:t>
            </a:r>
            <a:r>
              <a:rPr lang="en-US" altLang="zh-CN"/>
              <a:t>3   C</a:t>
            </a:r>
            <a:r>
              <a:rPr lang="zh-CN" altLang="en-US"/>
              <a:t>盘自然冷却曲线</a:t>
            </a:r>
            <a:endParaRPr lang="zh-CN"/>
          </a:p>
        </c:rich>
      </c:tx>
      <c:layout>
        <c:manualLayout>
          <c:xMode val="edge"/>
          <c:yMode val="edge"/>
          <c:x val="0.335351270553064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874914178328606"/>
          <c:y val="0.20942048437127178"/>
          <c:w val="0.82177163392692509"/>
          <c:h val="0.6345022071104747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'冷却 (画图)'!$C$3</c:f>
              <c:strCache>
                <c:ptCount val="1"/>
                <c:pt idx="0">
                  <c:v>C盘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'冷却 (画图)'!$B$5:$B$22</c:f>
              <c:numCache>
                <c:formatCode>0.00</c:formatCode>
                <c:ptCount val="18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</c:numCache>
            </c:numRef>
          </c:xVal>
          <c:yVal>
            <c:numRef>
              <c:f>'冷却 (画图)'!$C$5:$C$22</c:f>
              <c:numCache>
                <c:formatCode>0.0</c:formatCode>
                <c:ptCount val="18"/>
                <c:pt idx="0">
                  <c:v>49.6</c:v>
                </c:pt>
                <c:pt idx="1">
                  <c:v>49.2</c:v>
                </c:pt>
                <c:pt idx="2">
                  <c:v>48.7</c:v>
                </c:pt>
                <c:pt idx="3">
                  <c:v>48.2</c:v>
                </c:pt>
                <c:pt idx="4">
                  <c:v>47.7</c:v>
                </c:pt>
                <c:pt idx="5">
                  <c:v>47.2</c:v>
                </c:pt>
                <c:pt idx="6">
                  <c:v>46.8</c:v>
                </c:pt>
                <c:pt idx="7">
                  <c:v>46.3</c:v>
                </c:pt>
                <c:pt idx="8">
                  <c:v>45.9</c:v>
                </c:pt>
                <c:pt idx="9">
                  <c:v>45.5</c:v>
                </c:pt>
                <c:pt idx="10">
                  <c:v>45</c:v>
                </c:pt>
                <c:pt idx="11">
                  <c:v>44.6</c:v>
                </c:pt>
                <c:pt idx="12">
                  <c:v>44.2</c:v>
                </c:pt>
                <c:pt idx="13">
                  <c:v>43.8</c:v>
                </c:pt>
                <c:pt idx="14">
                  <c:v>43.3</c:v>
                </c:pt>
                <c:pt idx="15">
                  <c:v>42.9</c:v>
                </c:pt>
                <c:pt idx="16">
                  <c:v>42.5</c:v>
                </c:pt>
                <c:pt idx="17">
                  <c:v>42.2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76-445E-8DB8-283E75692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36656"/>
        <c:axId val="98738096"/>
      </c:scatterChart>
      <c:valAx>
        <c:axId val="9873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楷体" panose="02010609060101010101" pitchFamily="49" charset="-122"/>
                    <a:cs typeface="Times New Roman" panose="02020603050405020304" pitchFamily="18" charset="0"/>
                  </a:defRPr>
                </a:pPr>
                <a:r>
                  <a:rPr lang="zh-CN" altLang="en-US" sz="1100"/>
                  <a:t>时间</a:t>
                </a:r>
                <a:r>
                  <a:rPr lang="en-US" altLang="zh-CN" sz="1100" i="1"/>
                  <a:t>t</a:t>
                </a:r>
                <a:r>
                  <a:rPr lang="en-US" altLang="zh-CN" sz="1100"/>
                  <a:t> (</a:t>
                </a:r>
                <a:r>
                  <a:rPr lang="en-US" altLang="zh-CN" sz="1100" i="0"/>
                  <a:t>s</a:t>
                </a:r>
                <a:r>
                  <a:rPr lang="en-US" altLang="zh-CN" sz="1100"/>
                  <a:t>)</a:t>
                </a:r>
                <a:endParaRPr lang="zh-CN" altLang="en-US" sz="1100"/>
              </a:p>
            </c:rich>
          </c:tx>
          <c:layout>
            <c:manualLayout>
              <c:xMode val="edge"/>
              <c:yMode val="edge"/>
              <c:x val="0.88272640247323364"/>
              <c:y val="0.913253698401336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楷体" panose="02010609060101010101" pitchFamily="49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98738096"/>
        <c:crosses val="autoZero"/>
        <c:crossBetween val="midCat"/>
      </c:valAx>
      <c:valAx>
        <c:axId val="9873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楷体" panose="02010609060101010101" pitchFamily="49" charset="-122"/>
                    <a:cs typeface="Times New Roman" panose="02020603050405020304" pitchFamily="18" charset="0"/>
                  </a:defRPr>
                </a:pPr>
                <a:r>
                  <a:rPr lang="zh-CN" altLang="en-US" sz="1100"/>
                  <a:t>温度</a:t>
                </a:r>
                <a:r>
                  <a:rPr lang="en-US" altLang="zh-CN" sz="1100" i="1"/>
                  <a:t>T </a:t>
                </a:r>
                <a:r>
                  <a:rPr lang="en-US" altLang="zh-CN" sz="1100"/>
                  <a:t>(</a:t>
                </a:r>
                <a:r>
                  <a:rPr lang="zh-CN" altLang="en-US" sz="1100"/>
                  <a:t>℃</a:t>
                </a:r>
                <a:r>
                  <a:rPr lang="en-US" altLang="zh-CN" sz="1100"/>
                  <a:t>)</a:t>
                </a:r>
                <a:endParaRPr lang="zh-CN" altLang="en-US" sz="1100"/>
              </a:p>
            </c:rich>
          </c:tx>
          <c:layout>
            <c:manualLayout>
              <c:xMode val="edge"/>
              <c:yMode val="edge"/>
              <c:x val="1.8919215815511849E-2"/>
              <c:y val="0.10474588403722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楷体" panose="02010609060101010101" pitchFamily="49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9873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3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30479</xdr:colOff>
      <xdr:row>4</xdr:row>
      <xdr:rowOff>140390</xdr:rowOff>
    </xdr:from>
    <xdr:to>
      <xdr:col>22</xdr:col>
      <xdr:colOff>262704</xdr:colOff>
      <xdr:row>8</xdr:row>
      <xdr:rowOff>160020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567BD7E-AC02-7028-1FA3-7D081BD61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1559" y="871910"/>
          <a:ext cx="5169985" cy="7511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13</xdr:col>
      <xdr:colOff>579120</xdr:colOff>
      <xdr:row>10</xdr:row>
      <xdr:rowOff>127251</xdr:rowOff>
    </xdr:from>
    <xdr:to>
      <xdr:col>21</xdr:col>
      <xdr:colOff>457200</xdr:colOff>
      <xdr:row>17</xdr:row>
      <xdr:rowOff>104979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D985303-753E-4AC6-9232-FFC23470C2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892" t="62116" r="8648" b="8738"/>
        <a:stretch>
          <a:fillRect/>
        </a:stretch>
      </xdr:blipFill>
      <xdr:spPr>
        <a:xfrm>
          <a:off x="9220200" y="1956051"/>
          <a:ext cx="4206240" cy="125788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533400</xdr:colOff>
      <xdr:row>4</xdr:row>
      <xdr:rowOff>121920</xdr:rowOff>
    </xdr:from>
    <xdr:to>
      <xdr:col>20</xdr:col>
      <xdr:colOff>144780</xdr:colOff>
      <xdr:row>23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8AF7981-A5FC-4898-BD1E-A0F143DF0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411480</xdr:colOff>
      <xdr:row>6</xdr:row>
      <xdr:rowOff>0</xdr:rowOff>
    </xdr:from>
    <xdr:to>
      <xdr:col>14</xdr:col>
      <xdr:colOff>998220</xdr:colOff>
      <xdr:row>21</xdr:row>
      <xdr:rowOff>91440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1B1659AB-CFC9-4297-8542-E273FE6C5C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137159</xdr:colOff>
      <xdr:row>27</xdr:row>
      <xdr:rowOff>87996</xdr:rowOff>
    </xdr:from>
    <xdr:to>
      <xdr:col>10</xdr:col>
      <xdr:colOff>417852</xdr:colOff>
      <xdr:row>31</xdr:row>
      <xdr:rowOff>83820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2C5E1E4-B991-D04F-CB00-8E2A2D774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59" y="5025756"/>
          <a:ext cx="5797573" cy="72734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15</xdr:col>
      <xdr:colOff>113333</xdr:colOff>
      <xdr:row>0</xdr:row>
      <xdr:rowOff>175260</xdr:rowOff>
    </xdr:from>
    <xdr:to>
      <xdr:col>22</xdr:col>
      <xdr:colOff>415683</xdr:colOff>
      <xdr:row>12</xdr:row>
      <xdr:rowOff>91440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A3CD79F2-47B3-23D8-FD42-FEF5669C88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38717"/>
        <a:stretch>
          <a:fillRect/>
        </a:stretch>
      </xdr:blipFill>
      <xdr:spPr>
        <a:xfrm>
          <a:off x="9501173" y="175260"/>
          <a:ext cx="4569550" cy="211074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10</xdr:col>
      <xdr:colOff>586739</xdr:colOff>
      <xdr:row>21</xdr:row>
      <xdr:rowOff>15917</xdr:rowOff>
    </xdr:from>
    <xdr:to>
      <xdr:col>15</xdr:col>
      <xdr:colOff>563880</xdr:colOff>
      <xdr:row>31</xdr:row>
      <xdr:rowOff>132246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3E04717E-6FEE-65E1-1EAF-D211D767E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03619" y="3856397"/>
          <a:ext cx="3848101" cy="1945129"/>
        </a:xfrm>
        <a:prstGeom prst="rect">
          <a:avLst/>
        </a:prstGeom>
      </xdr:spPr>
    </xdr:pic>
    <xdr:clientData/>
  </xdr:twoCellAnchor>
  <xdr:twoCellAnchor editAs="oneCell">
    <xdr:from>
      <xdr:col>16</xdr:col>
      <xdr:colOff>60960</xdr:colOff>
      <xdr:row>12</xdr:row>
      <xdr:rowOff>174846</xdr:rowOff>
    </xdr:from>
    <xdr:to>
      <xdr:col>21</xdr:col>
      <xdr:colOff>533400</xdr:colOff>
      <xdr:row>22</xdr:row>
      <xdr:rowOff>53892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EF5A13B9-B606-BABA-A0BD-AC7121DC0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58400" y="2369406"/>
          <a:ext cx="3520440" cy="1707846"/>
        </a:xfrm>
        <a:prstGeom prst="rect">
          <a:avLst/>
        </a:prstGeom>
      </xdr:spPr>
    </xdr:pic>
    <xdr:clientData/>
  </xdr:twoCellAnchor>
  <xdr:twoCellAnchor editAs="oneCell">
    <xdr:from>
      <xdr:col>16</xdr:col>
      <xdr:colOff>148838</xdr:colOff>
      <xdr:row>22</xdr:row>
      <xdr:rowOff>92470</xdr:rowOff>
    </xdr:from>
    <xdr:to>
      <xdr:col>21</xdr:col>
      <xdr:colOff>388620</xdr:colOff>
      <xdr:row>26</xdr:row>
      <xdr:rowOff>112568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A0F2F174-1E82-C129-CCFE-BA3BAF98E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6278" y="4115830"/>
          <a:ext cx="3287782" cy="751618"/>
        </a:xfrm>
        <a:prstGeom prst="rect">
          <a:avLst/>
        </a:prstGeom>
      </xdr:spPr>
    </xdr:pic>
    <xdr:clientData/>
  </xdr:twoCellAnchor>
  <xdr:twoCellAnchor editAs="oneCell">
    <xdr:from>
      <xdr:col>16</xdr:col>
      <xdr:colOff>167640</xdr:colOff>
      <xdr:row>26</xdr:row>
      <xdr:rowOff>164898</xdr:rowOff>
    </xdr:from>
    <xdr:to>
      <xdr:col>21</xdr:col>
      <xdr:colOff>373380</xdr:colOff>
      <xdr:row>31</xdr:row>
      <xdr:rowOff>87921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7EA91C69-ADC1-B3E8-B0EE-4B7C314A9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65080" y="4919778"/>
          <a:ext cx="3253740" cy="837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83A2-05D8-42A0-BE97-DEE5070CAD34}">
  <dimension ref="A1:T30"/>
  <sheetViews>
    <sheetView tabSelected="1" workbookViewId="0">
      <selection activeCell="J26" sqref="J26"/>
    </sheetView>
  </sheetViews>
  <sheetFormatPr defaultRowHeight="14.4" x14ac:dyDescent="0.25"/>
  <cols>
    <col min="3" max="3" width="10.5546875" bestFit="1" customWidth="1"/>
    <col min="6" max="6" width="10.5546875" bestFit="1" customWidth="1"/>
    <col min="9" max="9" width="9.5546875" bestFit="1" customWidth="1"/>
    <col min="10" max="11" width="11.6640625" bestFit="1" customWidth="1"/>
    <col min="12" max="12" width="9.77734375" customWidth="1"/>
    <col min="17" max="17" width="7.109375" customWidth="1"/>
    <col min="18" max="18" width="3.21875" customWidth="1"/>
    <col min="19" max="19" width="6.77734375" customWidth="1"/>
    <col min="20" max="20" width="10.44140625" customWidth="1"/>
  </cols>
  <sheetData>
    <row r="1" spans="1:13" x14ac:dyDescent="0.25">
      <c r="A1" t="s">
        <v>108</v>
      </c>
      <c r="B1" s="18" t="s">
        <v>16</v>
      </c>
      <c r="C1" s="18"/>
      <c r="E1" s="1" t="s">
        <v>0</v>
      </c>
    </row>
    <row r="2" spans="1:13" x14ac:dyDescent="0.25">
      <c r="G2" s="9"/>
      <c r="H2" s="10" t="s">
        <v>9</v>
      </c>
      <c r="I2" s="12">
        <v>663</v>
      </c>
      <c r="K2" s="9"/>
      <c r="L2" s="10" t="s">
        <v>95</v>
      </c>
      <c r="M2" s="64">
        <v>2</v>
      </c>
    </row>
    <row r="3" spans="1:13" x14ac:dyDescent="0.25">
      <c r="A3" s="4"/>
      <c r="B3" s="80" t="s">
        <v>2</v>
      </c>
      <c r="C3" s="80"/>
      <c r="D3" s="80" t="s">
        <v>3</v>
      </c>
      <c r="E3" s="80"/>
      <c r="H3" s="2" t="s">
        <v>10</v>
      </c>
      <c r="I3" s="2">
        <f>I2/1000</f>
        <v>0.66300000000000003</v>
      </c>
      <c r="J3" t="s">
        <v>11</v>
      </c>
    </row>
    <row r="4" spans="1:13" x14ac:dyDescent="0.25">
      <c r="A4" s="4" t="s">
        <v>1</v>
      </c>
      <c r="B4" s="4" t="s">
        <v>4</v>
      </c>
      <c r="C4" s="4" t="s">
        <v>5</v>
      </c>
      <c r="D4" s="4" t="s">
        <v>6</v>
      </c>
      <c r="E4" s="4" t="s">
        <v>7</v>
      </c>
    </row>
    <row r="5" spans="1:13" x14ac:dyDescent="0.25">
      <c r="A5" s="5">
        <v>1</v>
      </c>
      <c r="B5" s="6">
        <v>10</v>
      </c>
      <c r="C5" s="6">
        <v>0.96399999999999997</v>
      </c>
      <c r="D5" s="6">
        <v>9.9640000000000004</v>
      </c>
      <c r="E5" s="6">
        <v>0.81799999999999995</v>
      </c>
      <c r="G5" t="s">
        <v>17</v>
      </c>
    </row>
    <row r="6" spans="1:13" x14ac:dyDescent="0.25">
      <c r="A6" s="5">
        <v>2</v>
      </c>
      <c r="B6" s="6">
        <v>9.9939999999999998</v>
      </c>
      <c r="C6" s="6">
        <v>0.98</v>
      </c>
      <c r="D6" s="6">
        <v>9.9619999999999997</v>
      </c>
      <c r="E6" s="6">
        <v>0.81799999999999995</v>
      </c>
      <c r="H6" s="8" t="s">
        <v>18</v>
      </c>
      <c r="I6" s="2">
        <v>394</v>
      </c>
      <c r="J6" t="s">
        <v>19</v>
      </c>
    </row>
    <row r="7" spans="1:13" x14ac:dyDescent="0.25">
      <c r="A7" s="5">
        <v>3</v>
      </c>
      <c r="B7" s="6">
        <v>10.01</v>
      </c>
      <c r="C7" s="6">
        <v>0.96199999999999997</v>
      </c>
      <c r="D7" s="6">
        <v>9.9600000000000009</v>
      </c>
      <c r="E7" s="6">
        <v>0.82</v>
      </c>
      <c r="H7" s="8" t="s">
        <v>21</v>
      </c>
      <c r="I7" s="2">
        <v>8.9</v>
      </c>
      <c r="J7" t="s">
        <v>20</v>
      </c>
    </row>
    <row r="8" spans="1:13" x14ac:dyDescent="0.25">
      <c r="A8" s="5">
        <v>4</v>
      </c>
      <c r="B8" s="6">
        <v>9.9979999999999993</v>
      </c>
      <c r="C8" s="6">
        <v>0.97199999999999998</v>
      </c>
      <c r="D8" s="6">
        <v>9.9659999999999993</v>
      </c>
      <c r="E8" s="6">
        <v>0.81599999999999995</v>
      </c>
      <c r="H8" s="8" t="s">
        <v>10</v>
      </c>
      <c r="I8" s="26">
        <f>I7*1000</f>
        <v>8900</v>
      </c>
      <c r="J8" t="s">
        <v>36</v>
      </c>
    </row>
    <row r="9" spans="1:13" x14ac:dyDescent="0.25">
      <c r="A9" s="5">
        <v>5</v>
      </c>
      <c r="B9" s="6">
        <v>9.9920000000000009</v>
      </c>
      <c r="C9" s="6">
        <v>0.96199999999999997</v>
      </c>
      <c r="D9" s="6">
        <v>9.9580000000000002</v>
      </c>
      <c r="E9" s="6">
        <v>0.81</v>
      </c>
    </row>
    <row r="10" spans="1:13" x14ac:dyDescent="0.25">
      <c r="A10" s="5" t="s">
        <v>8</v>
      </c>
      <c r="B10" s="7">
        <f>AVERAGE(B5:B9)</f>
        <v>9.9987999999999992</v>
      </c>
      <c r="C10" s="7">
        <f t="shared" ref="C10:E10" si="0">AVERAGE(C5:C9)</f>
        <v>0.96799999999999997</v>
      </c>
      <c r="D10" s="7">
        <f t="shared" si="0"/>
        <v>9.9619999999999997</v>
      </c>
      <c r="E10" s="7">
        <f t="shared" si="0"/>
        <v>0.81640000000000001</v>
      </c>
    </row>
    <row r="12" spans="1:13" ht="14.4" customHeight="1" x14ac:dyDescent="0.25">
      <c r="B12" s="71" t="s">
        <v>105</v>
      </c>
      <c r="C12" s="72"/>
      <c r="D12" s="72"/>
      <c r="E12" s="72"/>
      <c r="F12" s="73"/>
      <c r="G12" s="74" t="s">
        <v>90</v>
      </c>
      <c r="H12" s="75"/>
      <c r="I12" s="75"/>
      <c r="J12" s="75"/>
      <c r="K12" s="76"/>
    </row>
    <row r="13" spans="1:13" ht="14.4" customHeight="1" x14ac:dyDescent="0.25">
      <c r="B13" s="74"/>
      <c r="C13" s="75"/>
      <c r="D13" s="75"/>
      <c r="E13" s="75"/>
      <c r="F13" s="76"/>
      <c r="G13" s="74"/>
      <c r="H13" s="75"/>
      <c r="I13" s="75"/>
      <c r="J13" s="75"/>
      <c r="K13" s="76"/>
    </row>
    <row r="14" spans="1:13" ht="14.4" customHeight="1" x14ac:dyDescent="0.25">
      <c r="B14" s="74"/>
      <c r="C14" s="75"/>
      <c r="D14" s="75"/>
      <c r="E14" s="75"/>
      <c r="F14" s="76"/>
      <c r="G14" s="74"/>
      <c r="H14" s="75"/>
      <c r="I14" s="75"/>
      <c r="J14" s="75"/>
      <c r="K14" s="76"/>
    </row>
    <row r="15" spans="1:13" ht="14.4" customHeight="1" x14ac:dyDescent="0.25">
      <c r="B15" s="77"/>
      <c r="C15" s="78"/>
      <c r="D15" s="78"/>
      <c r="E15" s="78"/>
      <c r="F15" s="79"/>
      <c r="G15" s="74"/>
      <c r="H15" s="75"/>
      <c r="I15" s="75"/>
      <c r="J15" s="75"/>
      <c r="K15" s="76"/>
    </row>
    <row r="17" spans="2:20" x14ac:dyDescent="0.25">
      <c r="B17" t="s">
        <v>94</v>
      </c>
    </row>
    <row r="18" spans="2:20" x14ac:dyDescent="0.25">
      <c r="I18" s="8" t="s">
        <v>50</v>
      </c>
      <c r="J18">
        <f>冷却!J22</f>
        <v>1.426666666666666E-2</v>
      </c>
      <c r="K18" t="s">
        <v>35</v>
      </c>
    </row>
    <row r="19" spans="2:20" x14ac:dyDescent="0.25">
      <c r="B19" s="23" t="s">
        <v>28</v>
      </c>
      <c r="C19" s="3">
        <f>B10/2</f>
        <v>4.9993999999999996</v>
      </c>
      <c r="D19" t="s">
        <v>29</v>
      </c>
      <c r="E19" s="23" t="s">
        <v>33</v>
      </c>
      <c r="F19" s="3">
        <f>D10/2</f>
        <v>4.9809999999999999</v>
      </c>
      <c r="G19" t="s">
        <v>29</v>
      </c>
      <c r="I19" s="53" t="s">
        <v>77</v>
      </c>
      <c r="J19">
        <f>冷却!L12</f>
        <v>2.1399999999999992</v>
      </c>
      <c r="K19" t="s">
        <v>44</v>
      </c>
    </row>
    <row r="20" spans="2:20" x14ac:dyDescent="0.25">
      <c r="B20" s="22" t="s">
        <v>30</v>
      </c>
      <c r="C20" s="24">
        <f>C19/100</f>
        <v>4.9993999999999997E-2</v>
      </c>
      <c r="D20" t="s">
        <v>31</v>
      </c>
      <c r="E20" s="22" t="s">
        <v>30</v>
      </c>
      <c r="F20" s="24">
        <f>F19/100</f>
        <v>4.981E-2</v>
      </c>
      <c r="G20" t="s">
        <v>31</v>
      </c>
      <c r="I20" s="8" t="s">
        <v>66</v>
      </c>
      <c r="J20">
        <f>冷却!J20</f>
        <v>0.23145556989049401</v>
      </c>
      <c r="K20" t="s">
        <v>71</v>
      </c>
    </row>
    <row r="21" spans="2:20" x14ac:dyDescent="0.25">
      <c r="B21" s="23" t="s">
        <v>32</v>
      </c>
      <c r="C21" s="3">
        <f>C10</f>
        <v>0.96799999999999997</v>
      </c>
      <c r="D21" t="s">
        <v>29</v>
      </c>
      <c r="E21" s="23" t="s">
        <v>34</v>
      </c>
      <c r="F21" s="3">
        <f>E10</f>
        <v>0.81640000000000001</v>
      </c>
      <c r="G21" t="s">
        <v>29</v>
      </c>
      <c r="I21" s="53" t="s">
        <v>80</v>
      </c>
      <c r="J21" s="52">
        <f>冷却!M14</f>
        <v>150</v>
      </c>
      <c r="K21" t="s">
        <v>65</v>
      </c>
    </row>
    <row r="22" spans="2:20" x14ac:dyDescent="0.25">
      <c r="B22" s="22" t="s">
        <v>30</v>
      </c>
      <c r="C22" s="24">
        <f>C21/100</f>
        <v>9.6799999999999994E-3</v>
      </c>
      <c r="D22" t="s">
        <v>31</v>
      </c>
      <c r="E22" s="22" t="s">
        <v>30</v>
      </c>
      <c r="F22" s="24">
        <f>F21/100</f>
        <v>8.1639999999999994E-3</v>
      </c>
      <c r="G22" t="s">
        <v>31</v>
      </c>
      <c r="I22" s="8" t="s">
        <v>67</v>
      </c>
      <c r="J22">
        <f>冷却!M20</f>
        <v>1.1546993836787132</v>
      </c>
      <c r="K22" t="s">
        <v>68</v>
      </c>
      <c r="N22" t="s">
        <v>104</v>
      </c>
    </row>
    <row r="23" spans="2:20" x14ac:dyDescent="0.25">
      <c r="I23" s="8"/>
    </row>
    <row r="24" spans="2:20" x14ac:dyDescent="0.25">
      <c r="B24" t="s">
        <v>91</v>
      </c>
      <c r="C24">
        <f>升温!I3</f>
        <v>58.819999999999993</v>
      </c>
      <c r="D24" t="s">
        <v>93</v>
      </c>
      <c r="I24" s="8" t="s">
        <v>51</v>
      </c>
      <c r="J24">
        <f>I3*I6*((F22*(C20+2*C22))/((2*C20+2*C22)*(C24-C25)*PI()*((F20)^2)))</f>
        <v>11.373103389404847</v>
      </c>
      <c r="K24" t="s">
        <v>81</v>
      </c>
    </row>
    <row r="25" spans="2:20" x14ac:dyDescent="0.25">
      <c r="B25" t="s">
        <v>92</v>
      </c>
      <c r="C25">
        <f>升温!I4</f>
        <v>44.84</v>
      </c>
      <c r="D25" t="s">
        <v>93</v>
      </c>
      <c r="I25" s="8" t="s">
        <v>85</v>
      </c>
      <c r="J25">
        <f>J24*J18</f>
        <v>0.16225627502217574</v>
      </c>
      <c r="K25" t="s">
        <v>83</v>
      </c>
    </row>
    <row r="26" spans="2:20" x14ac:dyDescent="0.25">
      <c r="B26" t="s">
        <v>76</v>
      </c>
      <c r="I26" s="54" t="s">
        <v>82</v>
      </c>
      <c r="J26" s="81">
        <f>SQRT((J20/J19)^2+(J22/J21)^2)</f>
        <v>0.10843041240985887</v>
      </c>
      <c r="K26" t="s">
        <v>83</v>
      </c>
    </row>
    <row r="27" spans="2:20" x14ac:dyDescent="0.25">
      <c r="I27" s="54" t="s">
        <v>84</v>
      </c>
      <c r="J27">
        <f>J29*J26</f>
        <v>1.7593514816741998E-2</v>
      </c>
      <c r="K27" t="s">
        <v>83</v>
      </c>
      <c r="Q27" s="36" t="s">
        <v>45</v>
      </c>
      <c r="R27" s="35"/>
      <c r="S27" s="35" t="s">
        <v>46</v>
      </c>
    </row>
    <row r="28" spans="2:20" x14ac:dyDescent="0.25">
      <c r="Q28" s="37" t="s">
        <v>47</v>
      </c>
      <c r="R28" s="35"/>
      <c r="S28" s="37" t="s">
        <v>47</v>
      </c>
    </row>
    <row r="29" spans="2:20" x14ac:dyDescent="0.25">
      <c r="B29" s="36" t="s">
        <v>98</v>
      </c>
      <c r="C29" t="s">
        <v>96</v>
      </c>
      <c r="D29" s="35"/>
      <c r="H29" s="45" t="s">
        <v>54</v>
      </c>
      <c r="I29" s="42"/>
      <c r="J29" s="40">
        <f>J25</f>
        <v>0.16225627502217574</v>
      </c>
      <c r="K29" s="40" t="s">
        <v>55</v>
      </c>
      <c r="L29" s="47" t="s">
        <v>45</v>
      </c>
      <c r="M29" s="39"/>
      <c r="O29" s="56" t="s">
        <v>88</v>
      </c>
      <c r="P29" s="38" t="s">
        <v>89</v>
      </c>
      <c r="Q29" s="63">
        <f>J29</f>
        <v>0.16225627502217574</v>
      </c>
      <c r="R29" s="57" t="s">
        <v>48</v>
      </c>
      <c r="S29" s="62">
        <f>J30</f>
        <v>1.7593514816741998E-2</v>
      </c>
      <c r="T29" s="55" t="s">
        <v>87</v>
      </c>
    </row>
    <row r="30" spans="2:20" x14ac:dyDescent="0.25">
      <c r="B30" s="8" t="s">
        <v>97</v>
      </c>
      <c r="C30" t="s">
        <v>107</v>
      </c>
      <c r="D30" s="35"/>
      <c r="H30" s="43" t="s">
        <v>52</v>
      </c>
      <c r="I30" s="44"/>
      <c r="J30" s="41">
        <f>J27</f>
        <v>1.7593514816741998E-2</v>
      </c>
      <c r="K30" s="41" t="s">
        <v>55</v>
      </c>
      <c r="L30" s="48" t="s">
        <v>53</v>
      </c>
      <c r="M30" s="46"/>
      <c r="O30" s="58"/>
      <c r="P30" s="59"/>
      <c r="Q30" s="59"/>
      <c r="R30" s="59"/>
      <c r="S30" s="60" t="s">
        <v>49</v>
      </c>
      <c r="T30" s="61"/>
    </row>
  </sheetData>
  <protectedRanges>
    <protectedRange algorithmName="SHA-512" hashValue="EZ54qFQBiANG5MuYW1m8n46tKWE/eQVeKG0Xbti9tRO2NmtHlUnFNg/kjtzQ+DDOQNS1eEMKaMwrT+lwKGa28w==" saltValue="bWzCL/4lg55q98lXJpVB2g==" spinCount="100000" sqref="B29:C30" name="区域1_2"/>
  </protectedRanges>
  <mergeCells count="4">
    <mergeCell ref="B12:F15"/>
    <mergeCell ref="G12:K15"/>
    <mergeCell ref="B3:C3"/>
    <mergeCell ref="D3:E3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35C39-DB98-4D17-9464-C412AA267EE9}">
  <dimension ref="A1:I41"/>
  <sheetViews>
    <sheetView workbookViewId="0">
      <selection activeCell="V21" sqref="V21"/>
    </sheetView>
  </sheetViews>
  <sheetFormatPr defaultRowHeight="14.4" x14ac:dyDescent="0.25"/>
  <sheetData>
    <row r="1" spans="1:9" x14ac:dyDescent="0.25">
      <c r="A1" s="19" t="s">
        <v>12</v>
      </c>
      <c r="B1" s="19"/>
      <c r="D1" s="1" t="s">
        <v>0</v>
      </c>
    </row>
    <row r="3" spans="1:9" x14ac:dyDescent="0.25">
      <c r="A3" s="5" t="s">
        <v>1</v>
      </c>
      <c r="B3" s="5" t="s">
        <v>25</v>
      </c>
      <c r="C3" s="5" t="s">
        <v>24</v>
      </c>
      <c r="D3" s="5" t="s">
        <v>22</v>
      </c>
      <c r="F3" s="9"/>
      <c r="G3" s="11"/>
      <c r="H3" s="10" t="s">
        <v>13</v>
      </c>
      <c r="I3" s="17">
        <f>AVERAGE(H7:H11)</f>
        <v>58.819999999999993</v>
      </c>
    </row>
    <row r="4" spans="1:9" x14ac:dyDescent="0.25">
      <c r="A4" s="5"/>
      <c r="B4" s="5" t="s">
        <v>26</v>
      </c>
      <c r="C4" s="5" t="s">
        <v>23</v>
      </c>
      <c r="D4" s="5" t="s">
        <v>23</v>
      </c>
      <c r="F4" s="13"/>
      <c r="G4" s="14"/>
      <c r="H4" s="16" t="s">
        <v>14</v>
      </c>
      <c r="I4" s="17">
        <f>AVERAGE(I7:I11)</f>
        <v>44.84</v>
      </c>
    </row>
    <row r="5" spans="1:9" x14ac:dyDescent="0.25">
      <c r="A5" s="4">
        <v>0</v>
      </c>
      <c r="B5" s="15">
        <v>0</v>
      </c>
      <c r="C5" s="15">
        <v>19.899999999999999</v>
      </c>
      <c r="D5" s="15">
        <v>19.899999999999999</v>
      </c>
    </row>
    <row r="6" spans="1:9" x14ac:dyDescent="0.25">
      <c r="A6" s="4">
        <v>1</v>
      </c>
      <c r="B6" s="15">
        <v>120</v>
      </c>
      <c r="C6" s="15">
        <v>30</v>
      </c>
      <c r="D6" s="15">
        <v>20.399999999999999</v>
      </c>
      <c r="F6" t="s">
        <v>86</v>
      </c>
    </row>
    <row r="7" spans="1:9" x14ac:dyDescent="0.25">
      <c r="A7" s="4">
        <v>2</v>
      </c>
      <c r="B7" s="15">
        <v>240</v>
      </c>
      <c r="C7" s="15">
        <v>38.700000000000003</v>
      </c>
      <c r="D7" s="15">
        <v>20.8</v>
      </c>
      <c r="F7" s="4">
        <v>1</v>
      </c>
      <c r="G7" s="21">
        <v>4020</v>
      </c>
      <c r="H7" s="15">
        <v>58.8</v>
      </c>
      <c r="I7" s="15">
        <v>44.7</v>
      </c>
    </row>
    <row r="8" spans="1:9" x14ac:dyDescent="0.25">
      <c r="A8" s="4">
        <v>3</v>
      </c>
      <c r="B8" s="15">
        <v>360</v>
      </c>
      <c r="C8" s="15">
        <v>46.2</v>
      </c>
      <c r="D8" s="15">
        <v>21.9</v>
      </c>
      <c r="F8" s="4">
        <v>2</v>
      </c>
      <c r="G8" s="21">
        <v>4320</v>
      </c>
      <c r="H8" s="15">
        <v>58.8</v>
      </c>
      <c r="I8" s="15">
        <v>44.8</v>
      </c>
    </row>
    <row r="9" spans="1:9" x14ac:dyDescent="0.25">
      <c r="A9" s="4">
        <v>4</v>
      </c>
      <c r="B9" s="15">
        <v>480</v>
      </c>
      <c r="C9" s="15">
        <v>52.7</v>
      </c>
      <c r="D9" s="15">
        <v>23.4</v>
      </c>
      <c r="F9" s="4">
        <v>3</v>
      </c>
      <c r="G9" s="21">
        <v>4620</v>
      </c>
      <c r="H9" s="15">
        <v>58.8</v>
      </c>
      <c r="I9" s="15">
        <v>44.9</v>
      </c>
    </row>
    <row r="10" spans="1:9" x14ac:dyDescent="0.25">
      <c r="A10" s="4">
        <v>5</v>
      </c>
      <c r="B10" s="15">
        <v>600</v>
      </c>
      <c r="C10" s="15">
        <v>58.4</v>
      </c>
      <c r="D10" s="15">
        <v>25.3</v>
      </c>
      <c r="F10" s="4">
        <v>4</v>
      </c>
      <c r="G10" s="21">
        <v>4920</v>
      </c>
      <c r="H10" s="15">
        <v>58.9</v>
      </c>
      <c r="I10" s="15">
        <v>44.9</v>
      </c>
    </row>
    <row r="11" spans="1:9" x14ac:dyDescent="0.25">
      <c r="A11" s="4">
        <v>6</v>
      </c>
      <c r="B11" s="15">
        <v>720</v>
      </c>
      <c r="C11" s="15">
        <v>58.6</v>
      </c>
      <c r="D11" s="15">
        <v>27.5</v>
      </c>
      <c r="F11" s="4">
        <v>5</v>
      </c>
      <c r="G11" s="21">
        <v>5220</v>
      </c>
      <c r="H11" s="15">
        <v>58.8</v>
      </c>
      <c r="I11" s="15">
        <v>44.9</v>
      </c>
    </row>
    <row r="12" spans="1:9" x14ac:dyDescent="0.25">
      <c r="A12" s="4">
        <v>7</v>
      </c>
      <c r="B12" s="15">
        <v>840</v>
      </c>
      <c r="C12" s="15">
        <v>59.1</v>
      </c>
      <c r="D12" s="15">
        <v>29.7</v>
      </c>
    </row>
    <row r="13" spans="1:9" x14ac:dyDescent="0.25">
      <c r="A13" s="4">
        <v>8</v>
      </c>
      <c r="B13" s="15">
        <v>960</v>
      </c>
      <c r="C13" s="15">
        <v>59.1</v>
      </c>
      <c r="D13" s="15">
        <v>31.6</v>
      </c>
    </row>
    <row r="14" spans="1:9" x14ac:dyDescent="0.25">
      <c r="A14" s="4">
        <v>9</v>
      </c>
      <c r="B14" s="15">
        <v>1080</v>
      </c>
      <c r="C14" s="15">
        <v>59.1</v>
      </c>
      <c r="D14" s="15">
        <v>33.299999999999997</v>
      </c>
    </row>
    <row r="15" spans="1:9" x14ac:dyDescent="0.25">
      <c r="A15" s="4">
        <v>10</v>
      </c>
      <c r="B15" s="15">
        <v>1200</v>
      </c>
      <c r="C15" s="15">
        <v>59.1</v>
      </c>
      <c r="D15" s="15">
        <v>34.799999999999997</v>
      </c>
    </row>
    <row r="16" spans="1:9" x14ac:dyDescent="0.25">
      <c r="A16" s="4">
        <v>11</v>
      </c>
      <c r="B16" s="15">
        <v>1320</v>
      </c>
      <c r="C16" s="15">
        <v>59</v>
      </c>
      <c r="D16" s="15">
        <v>36.1</v>
      </c>
    </row>
    <row r="17" spans="1:4" x14ac:dyDescent="0.25">
      <c r="A17" s="4">
        <v>12</v>
      </c>
      <c r="B17" s="15">
        <v>1440</v>
      </c>
      <c r="C17" s="15">
        <v>59</v>
      </c>
      <c r="D17" s="15">
        <v>37.299999999999997</v>
      </c>
    </row>
    <row r="18" spans="1:4" x14ac:dyDescent="0.25">
      <c r="A18" s="4">
        <v>13</v>
      </c>
      <c r="B18" s="15">
        <v>1560</v>
      </c>
      <c r="C18" s="15">
        <v>59</v>
      </c>
      <c r="D18" s="15">
        <v>38.4</v>
      </c>
    </row>
    <row r="19" spans="1:4" x14ac:dyDescent="0.25">
      <c r="A19" s="4">
        <v>14</v>
      </c>
      <c r="B19" s="15">
        <v>1680</v>
      </c>
      <c r="C19" s="15">
        <v>59</v>
      </c>
      <c r="D19" s="15">
        <v>39.200000000000003</v>
      </c>
    </row>
    <row r="20" spans="1:4" x14ac:dyDescent="0.25">
      <c r="A20" s="4">
        <v>15</v>
      </c>
      <c r="B20" s="15">
        <v>1800</v>
      </c>
      <c r="C20" s="15">
        <v>59</v>
      </c>
      <c r="D20" s="15">
        <v>39.9</v>
      </c>
    </row>
    <row r="21" spans="1:4" x14ac:dyDescent="0.25">
      <c r="A21" s="4">
        <v>16</v>
      </c>
      <c r="B21" s="15">
        <v>1920</v>
      </c>
      <c r="C21" s="15">
        <v>59</v>
      </c>
      <c r="D21" s="15">
        <v>40.6</v>
      </c>
    </row>
    <row r="22" spans="1:4" x14ac:dyDescent="0.25">
      <c r="A22" s="4">
        <v>17</v>
      </c>
      <c r="B22" s="15">
        <v>2040</v>
      </c>
      <c r="C22" s="15">
        <v>58.8</v>
      </c>
      <c r="D22" s="15">
        <v>41.2</v>
      </c>
    </row>
    <row r="23" spans="1:4" x14ac:dyDescent="0.25">
      <c r="A23" s="4">
        <v>18</v>
      </c>
      <c r="B23" s="15">
        <v>2160</v>
      </c>
      <c r="C23" s="15">
        <v>58.9</v>
      </c>
      <c r="D23" s="15">
        <v>41.7</v>
      </c>
    </row>
    <row r="24" spans="1:4" x14ac:dyDescent="0.25">
      <c r="A24" s="4">
        <v>19</v>
      </c>
      <c r="B24" s="15">
        <v>2280</v>
      </c>
      <c r="C24" s="15">
        <v>58.9</v>
      </c>
      <c r="D24" s="15">
        <v>42.1</v>
      </c>
    </row>
    <row r="25" spans="1:4" x14ac:dyDescent="0.25">
      <c r="A25" s="4">
        <v>20</v>
      </c>
      <c r="B25" s="15">
        <v>2400</v>
      </c>
      <c r="C25" s="15">
        <v>58.9</v>
      </c>
      <c r="D25" s="15">
        <v>42.5</v>
      </c>
    </row>
    <row r="26" spans="1:4" x14ac:dyDescent="0.25">
      <c r="A26" s="4">
        <v>21</v>
      </c>
      <c r="B26" s="15">
        <v>2520</v>
      </c>
      <c r="C26" s="15">
        <v>58.8</v>
      </c>
      <c r="D26" s="15">
        <v>42.8</v>
      </c>
    </row>
    <row r="27" spans="1:4" x14ac:dyDescent="0.25">
      <c r="A27" s="4">
        <v>22</v>
      </c>
      <c r="B27" s="15">
        <v>2640</v>
      </c>
      <c r="C27" s="15">
        <v>58.8</v>
      </c>
      <c r="D27" s="15">
        <v>43.1</v>
      </c>
    </row>
    <row r="28" spans="1:4" x14ac:dyDescent="0.25">
      <c r="A28" s="4">
        <v>23</v>
      </c>
      <c r="B28" s="15">
        <v>2760</v>
      </c>
      <c r="C28" s="15">
        <v>58.8</v>
      </c>
      <c r="D28" s="15">
        <v>43.3</v>
      </c>
    </row>
    <row r="29" spans="1:4" x14ac:dyDescent="0.25">
      <c r="A29" s="4">
        <v>24</v>
      </c>
      <c r="B29" s="15">
        <v>2880</v>
      </c>
      <c r="C29" s="15">
        <v>58.8</v>
      </c>
      <c r="D29" s="15">
        <v>43.5</v>
      </c>
    </row>
    <row r="30" spans="1:4" x14ac:dyDescent="0.25">
      <c r="A30" s="4">
        <v>25</v>
      </c>
      <c r="B30" s="15">
        <v>3000</v>
      </c>
      <c r="C30" s="15">
        <v>58.8</v>
      </c>
      <c r="D30" s="15">
        <v>43.7</v>
      </c>
    </row>
    <row r="31" spans="1:4" x14ac:dyDescent="0.25">
      <c r="A31" s="4">
        <v>26</v>
      </c>
      <c r="B31" s="15">
        <v>3120</v>
      </c>
      <c r="C31" s="15">
        <v>58.8</v>
      </c>
      <c r="D31" s="15">
        <v>43.9</v>
      </c>
    </row>
    <row r="32" spans="1:4" x14ac:dyDescent="0.25">
      <c r="A32" s="4">
        <v>27</v>
      </c>
      <c r="B32" s="15">
        <v>3240</v>
      </c>
      <c r="C32" s="15">
        <v>58.9</v>
      </c>
      <c r="D32" s="15">
        <v>44</v>
      </c>
    </row>
    <row r="33" spans="1:4" x14ac:dyDescent="0.25">
      <c r="A33" s="4">
        <v>28</v>
      </c>
      <c r="B33" s="15">
        <v>3360</v>
      </c>
      <c r="C33" s="15">
        <v>58.8</v>
      </c>
      <c r="D33" s="15">
        <v>44.2</v>
      </c>
    </row>
    <row r="34" spans="1:4" x14ac:dyDescent="0.25">
      <c r="A34" s="4">
        <v>29</v>
      </c>
      <c r="B34" s="15">
        <v>3480</v>
      </c>
      <c r="C34" s="15">
        <v>58.9</v>
      </c>
      <c r="D34" s="15">
        <v>44.3</v>
      </c>
    </row>
    <row r="35" spans="1:4" x14ac:dyDescent="0.25">
      <c r="A35" s="4">
        <v>30</v>
      </c>
      <c r="B35" s="15">
        <v>3600</v>
      </c>
      <c r="C35" s="15">
        <v>58.9</v>
      </c>
      <c r="D35" s="15">
        <v>44.4</v>
      </c>
    </row>
    <row r="36" spans="1:4" x14ac:dyDescent="0.25">
      <c r="A36" s="4">
        <v>31</v>
      </c>
      <c r="B36" s="15">
        <v>3720</v>
      </c>
      <c r="C36" s="15">
        <v>58.8</v>
      </c>
      <c r="D36" s="15">
        <v>44.5</v>
      </c>
    </row>
    <row r="37" spans="1:4" x14ac:dyDescent="0.25">
      <c r="A37" s="4">
        <v>32</v>
      </c>
      <c r="B37" s="15">
        <v>4020</v>
      </c>
      <c r="C37" s="15">
        <v>58.8</v>
      </c>
      <c r="D37" s="15">
        <v>44.7</v>
      </c>
    </row>
    <row r="38" spans="1:4" x14ac:dyDescent="0.25">
      <c r="A38" s="4">
        <v>33</v>
      </c>
      <c r="B38" s="15">
        <v>4320</v>
      </c>
      <c r="C38" s="15">
        <v>58.8</v>
      </c>
      <c r="D38" s="15">
        <v>44.8</v>
      </c>
    </row>
    <row r="39" spans="1:4" x14ac:dyDescent="0.25">
      <c r="A39" s="4">
        <v>34</v>
      </c>
      <c r="B39" s="15">
        <v>4620</v>
      </c>
      <c r="C39" s="15">
        <v>58.8</v>
      </c>
      <c r="D39" s="15">
        <v>44.9</v>
      </c>
    </row>
    <row r="40" spans="1:4" x14ac:dyDescent="0.25">
      <c r="A40" s="4">
        <v>35</v>
      </c>
      <c r="B40" s="15">
        <v>4920</v>
      </c>
      <c r="C40" s="15">
        <v>58.9</v>
      </c>
      <c r="D40" s="15">
        <v>44.9</v>
      </c>
    </row>
    <row r="41" spans="1:4" x14ac:dyDescent="0.25">
      <c r="A41" s="4">
        <v>36</v>
      </c>
      <c r="B41" s="15">
        <v>5220</v>
      </c>
      <c r="C41" s="15">
        <v>58.8</v>
      </c>
      <c r="D41" s="15">
        <v>44.9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B136-2E56-4A3C-851A-D4E197AAD49F}">
  <dimension ref="A1:J24"/>
  <sheetViews>
    <sheetView workbookViewId="0"/>
  </sheetViews>
  <sheetFormatPr defaultRowHeight="14.4" x14ac:dyDescent="0.25"/>
  <cols>
    <col min="6" max="6" width="4.44140625" customWidth="1"/>
    <col min="7" max="7" width="9.109375" customWidth="1"/>
    <col min="8" max="8" width="8.88671875" customWidth="1"/>
    <col min="9" max="9" width="3.88671875" customWidth="1"/>
    <col min="10" max="10" width="9.6640625" customWidth="1"/>
    <col min="12" max="12" width="11.88671875" customWidth="1"/>
    <col min="13" max="13" width="11.5546875" customWidth="1"/>
    <col min="15" max="15" width="15.21875" customWidth="1"/>
  </cols>
  <sheetData>
    <row r="1" spans="1:10" x14ac:dyDescent="0.25">
      <c r="A1" s="20" t="s">
        <v>15</v>
      </c>
      <c r="B1" s="20"/>
      <c r="E1" s="1" t="s">
        <v>0</v>
      </c>
    </row>
    <row r="2" spans="1:10" x14ac:dyDescent="0.25">
      <c r="J2" t="s">
        <v>102</v>
      </c>
    </row>
    <row r="3" spans="1:10" x14ac:dyDescent="0.25">
      <c r="A3" s="4" t="s">
        <v>1</v>
      </c>
      <c r="B3" s="5" t="s">
        <v>25</v>
      </c>
      <c r="C3" s="5" t="s">
        <v>22</v>
      </c>
      <c r="D3" s="28" t="s">
        <v>37</v>
      </c>
      <c r="F3" s="9"/>
      <c r="G3" s="11"/>
      <c r="H3" s="33" t="s">
        <v>14</v>
      </c>
      <c r="I3" s="9"/>
      <c r="J3" s="34">
        <f>升温!I4</f>
        <v>44.84</v>
      </c>
    </row>
    <row r="4" spans="1:10" x14ac:dyDescent="0.25">
      <c r="A4" s="4"/>
      <c r="B4" s="5" t="s">
        <v>26</v>
      </c>
      <c r="C4" s="5" t="s">
        <v>27</v>
      </c>
      <c r="D4" s="29" t="s">
        <v>38</v>
      </c>
    </row>
    <row r="5" spans="1:10" x14ac:dyDescent="0.25">
      <c r="A5" s="4">
        <v>1</v>
      </c>
      <c r="B5" s="21">
        <v>0</v>
      </c>
      <c r="C5" s="15">
        <v>49.6</v>
      </c>
      <c r="D5" s="27">
        <f t="shared" ref="D5:D22" si="0">C5-$J$3</f>
        <v>4.759999999999998</v>
      </c>
      <c r="G5" s="66" t="s">
        <v>100</v>
      </c>
      <c r="H5" s="67"/>
    </row>
    <row r="6" spans="1:10" x14ac:dyDescent="0.25">
      <c r="A6" s="4">
        <v>2</v>
      </c>
      <c r="B6" s="21">
        <v>30</v>
      </c>
      <c r="C6" s="15">
        <v>49.2</v>
      </c>
      <c r="D6" s="27">
        <f t="shared" si="0"/>
        <v>4.3599999999999994</v>
      </c>
    </row>
    <row r="7" spans="1:10" x14ac:dyDescent="0.25">
      <c r="A7" s="4">
        <v>3</v>
      </c>
      <c r="B7" s="21">
        <v>60</v>
      </c>
      <c r="C7" s="15">
        <v>48.7</v>
      </c>
      <c r="D7" s="27">
        <f t="shared" si="0"/>
        <v>3.8599999999999994</v>
      </c>
    </row>
    <row r="8" spans="1:10" x14ac:dyDescent="0.25">
      <c r="A8" s="4">
        <v>4</v>
      </c>
      <c r="B8" s="21">
        <v>90</v>
      </c>
      <c r="C8" s="15">
        <v>48.2</v>
      </c>
      <c r="D8" s="27">
        <f t="shared" si="0"/>
        <v>3.3599999999999994</v>
      </c>
    </row>
    <row r="9" spans="1:10" x14ac:dyDescent="0.25">
      <c r="A9" s="4">
        <v>5</v>
      </c>
      <c r="B9" s="21">
        <v>120</v>
      </c>
      <c r="C9" s="15">
        <v>47.7</v>
      </c>
      <c r="D9" s="27">
        <f t="shared" si="0"/>
        <v>2.8599999999999994</v>
      </c>
    </row>
    <row r="10" spans="1:10" x14ac:dyDescent="0.25">
      <c r="A10" s="4">
        <v>6</v>
      </c>
      <c r="B10" s="21">
        <v>150</v>
      </c>
      <c r="C10" s="15">
        <v>47.2</v>
      </c>
      <c r="D10" s="27">
        <f t="shared" si="0"/>
        <v>2.3599999999999994</v>
      </c>
    </row>
    <row r="11" spans="1:10" x14ac:dyDescent="0.25">
      <c r="A11" s="4">
        <v>7</v>
      </c>
      <c r="B11" s="21">
        <v>180</v>
      </c>
      <c r="C11" s="15">
        <v>46.8</v>
      </c>
      <c r="D11" s="27">
        <f t="shared" si="0"/>
        <v>1.9599999999999937</v>
      </c>
    </row>
    <row r="12" spans="1:10" x14ac:dyDescent="0.25">
      <c r="A12" s="4">
        <v>8</v>
      </c>
      <c r="B12" s="21">
        <v>210</v>
      </c>
      <c r="C12" s="15">
        <v>46.3</v>
      </c>
      <c r="D12" s="27">
        <f t="shared" si="0"/>
        <v>1.4599999999999937</v>
      </c>
    </row>
    <row r="13" spans="1:10" x14ac:dyDescent="0.25">
      <c r="A13" s="4">
        <v>9</v>
      </c>
      <c r="B13" s="21">
        <v>240</v>
      </c>
      <c r="C13" s="15">
        <v>45.9</v>
      </c>
      <c r="D13" s="27">
        <f t="shared" si="0"/>
        <v>1.0599999999999952</v>
      </c>
    </row>
    <row r="14" spans="1:10" x14ac:dyDescent="0.25">
      <c r="A14" s="4">
        <v>10</v>
      </c>
      <c r="B14" s="21">
        <v>270</v>
      </c>
      <c r="C14" s="15">
        <v>45.5</v>
      </c>
      <c r="D14" s="27">
        <f t="shared" si="0"/>
        <v>0.65999999999999659</v>
      </c>
    </row>
    <row r="15" spans="1:10" x14ac:dyDescent="0.25">
      <c r="A15" s="4">
        <v>11</v>
      </c>
      <c r="B15" s="21">
        <v>300</v>
      </c>
      <c r="C15" s="15">
        <v>45</v>
      </c>
      <c r="D15" s="27">
        <f t="shared" si="0"/>
        <v>0.15999999999999659</v>
      </c>
    </row>
    <row r="16" spans="1:10" x14ac:dyDescent="0.25">
      <c r="A16" s="4">
        <v>12</v>
      </c>
      <c r="B16" s="21">
        <v>330</v>
      </c>
      <c r="C16" s="15">
        <v>44.6</v>
      </c>
      <c r="D16" s="27">
        <f t="shared" si="0"/>
        <v>-0.24000000000000199</v>
      </c>
    </row>
    <row r="17" spans="1:4" x14ac:dyDescent="0.25">
      <c r="A17" s="4">
        <v>13</v>
      </c>
      <c r="B17" s="21">
        <v>360</v>
      </c>
      <c r="C17" s="15">
        <v>44.2</v>
      </c>
      <c r="D17" s="27">
        <f t="shared" si="0"/>
        <v>-0.64000000000000057</v>
      </c>
    </row>
    <row r="18" spans="1:4" x14ac:dyDescent="0.25">
      <c r="A18" s="4">
        <v>14</v>
      </c>
      <c r="B18" s="21">
        <v>390</v>
      </c>
      <c r="C18" s="15">
        <v>43.8</v>
      </c>
      <c r="D18" s="27">
        <f t="shared" si="0"/>
        <v>-1.0400000000000063</v>
      </c>
    </row>
    <row r="19" spans="1:4" x14ac:dyDescent="0.25">
      <c r="A19" s="4">
        <v>15</v>
      </c>
      <c r="B19" s="21">
        <v>420</v>
      </c>
      <c r="C19" s="15">
        <v>43.3</v>
      </c>
      <c r="D19" s="27">
        <f t="shared" si="0"/>
        <v>-1.5400000000000063</v>
      </c>
    </row>
    <row r="20" spans="1:4" x14ac:dyDescent="0.25">
      <c r="A20" s="4">
        <v>16</v>
      </c>
      <c r="B20" s="21">
        <v>450</v>
      </c>
      <c r="C20" s="15">
        <v>42.9</v>
      </c>
      <c r="D20" s="27">
        <f t="shared" si="0"/>
        <v>-1.9400000000000048</v>
      </c>
    </row>
    <row r="21" spans="1:4" x14ac:dyDescent="0.25">
      <c r="A21" s="4">
        <v>17</v>
      </c>
      <c r="B21" s="21">
        <v>480</v>
      </c>
      <c r="C21" s="15">
        <v>42.5</v>
      </c>
      <c r="D21" s="27">
        <f t="shared" si="0"/>
        <v>-2.3400000000000034</v>
      </c>
    </row>
    <row r="22" spans="1:4" x14ac:dyDescent="0.25">
      <c r="A22" s="4">
        <v>18</v>
      </c>
      <c r="B22" s="21">
        <v>510</v>
      </c>
      <c r="C22" s="15">
        <v>42.2</v>
      </c>
      <c r="D22" s="27">
        <f t="shared" si="0"/>
        <v>-2.6400000000000006</v>
      </c>
    </row>
    <row r="23" spans="1:4" x14ac:dyDescent="0.25">
      <c r="D23" s="2"/>
    </row>
    <row r="24" spans="1:4" x14ac:dyDescent="0.25">
      <c r="D24" s="2"/>
    </row>
  </sheetData>
  <autoFilter ref="A4:D22" xr:uid="{42CA7A7B-9C25-45CA-9C4F-E6765BDE17A9}"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7A7B-9C25-45CA-9C4F-E6765BDE17A9}">
  <dimension ref="A1:O27"/>
  <sheetViews>
    <sheetView workbookViewId="0">
      <selection activeCell="O19" sqref="O19"/>
    </sheetView>
  </sheetViews>
  <sheetFormatPr defaultRowHeight="14.4" x14ac:dyDescent="0.25"/>
  <cols>
    <col min="6" max="6" width="4.44140625" customWidth="1"/>
    <col min="7" max="7" width="9.109375" customWidth="1"/>
    <col min="8" max="8" width="8.88671875" customWidth="1"/>
    <col min="9" max="9" width="3.88671875" customWidth="1"/>
    <col min="10" max="10" width="9.6640625" customWidth="1"/>
    <col min="12" max="12" width="11.88671875" customWidth="1"/>
    <col min="13" max="13" width="11.5546875" customWidth="1"/>
    <col min="15" max="15" width="15.21875" customWidth="1"/>
  </cols>
  <sheetData>
    <row r="1" spans="1:15" x14ac:dyDescent="0.25">
      <c r="A1" s="20" t="s">
        <v>15</v>
      </c>
      <c r="B1" s="20"/>
      <c r="E1" s="1" t="s">
        <v>0</v>
      </c>
    </row>
    <row r="2" spans="1:15" x14ac:dyDescent="0.25">
      <c r="J2" t="s">
        <v>101</v>
      </c>
    </row>
    <row r="3" spans="1:15" x14ac:dyDescent="0.25">
      <c r="A3" s="4" t="s">
        <v>1</v>
      </c>
      <c r="B3" s="5" t="s">
        <v>25</v>
      </c>
      <c r="C3" s="5" t="s">
        <v>22</v>
      </c>
      <c r="D3" s="28" t="s">
        <v>37</v>
      </c>
      <c r="F3" s="9"/>
      <c r="G3" s="11"/>
      <c r="H3" s="33" t="s">
        <v>14</v>
      </c>
      <c r="I3" s="9"/>
      <c r="J3" s="70">
        <f>升温!I4</f>
        <v>44.84</v>
      </c>
      <c r="L3" s="65" t="s">
        <v>100</v>
      </c>
    </row>
    <row r="4" spans="1:15" x14ac:dyDescent="0.25">
      <c r="A4" s="4"/>
      <c r="B4" s="5" t="s">
        <v>26</v>
      </c>
      <c r="C4" s="5" t="s">
        <v>27</v>
      </c>
      <c r="D4" s="29" t="s">
        <v>38</v>
      </c>
    </row>
    <row r="5" spans="1:15" x14ac:dyDescent="0.25">
      <c r="A5" s="4">
        <v>1</v>
      </c>
      <c r="B5" s="21">
        <v>0</v>
      </c>
      <c r="C5" s="15">
        <v>49.6</v>
      </c>
      <c r="D5" s="27">
        <f t="shared" ref="D5:D22" si="0">C5-$J$3</f>
        <v>4.759999999999998</v>
      </c>
      <c r="G5" s="5" t="s">
        <v>25</v>
      </c>
      <c r="H5" s="5" t="s">
        <v>22</v>
      </c>
      <c r="J5" s="5" t="s">
        <v>25</v>
      </c>
      <c r="K5" s="5" t="s">
        <v>22</v>
      </c>
      <c r="L5" s="50" t="s">
        <v>43</v>
      </c>
      <c r="M5" s="50" t="s">
        <v>58</v>
      </c>
      <c r="N5" s="50" t="s">
        <v>59</v>
      </c>
      <c r="O5" s="51" t="s">
        <v>62</v>
      </c>
    </row>
    <row r="6" spans="1:15" x14ac:dyDescent="0.25">
      <c r="A6" s="4">
        <v>2</v>
      </c>
      <c r="B6" s="21">
        <v>30</v>
      </c>
      <c r="C6" s="15">
        <v>49.2</v>
      </c>
      <c r="D6" s="27">
        <f t="shared" si="0"/>
        <v>4.3599999999999994</v>
      </c>
      <c r="F6" s="4"/>
      <c r="G6" s="5" t="s">
        <v>26</v>
      </c>
      <c r="H6" s="5" t="s">
        <v>27</v>
      </c>
      <c r="I6" s="4"/>
      <c r="J6" s="5" t="s">
        <v>26</v>
      </c>
      <c r="K6" s="5" t="s">
        <v>27</v>
      </c>
      <c r="L6" s="49" t="s">
        <v>56</v>
      </c>
      <c r="M6" s="49" t="s">
        <v>57</v>
      </c>
      <c r="N6" s="5" t="s">
        <v>60</v>
      </c>
    </row>
    <row r="7" spans="1:15" x14ac:dyDescent="0.25">
      <c r="A7" s="4">
        <v>3</v>
      </c>
      <c r="B7" s="21">
        <v>60</v>
      </c>
      <c r="C7" s="15">
        <v>48.7</v>
      </c>
      <c r="D7" s="27">
        <f t="shared" si="0"/>
        <v>3.8599999999999994</v>
      </c>
      <c r="F7" s="4">
        <v>1</v>
      </c>
      <c r="G7" s="21">
        <v>180</v>
      </c>
      <c r="H7" s="15">
        <v>46.8</v>
      </c>
      <c r="I7" s="4">
        <v>6</v>
      </c>
      <c r="J7" s="21">
        <v>330</v>
      </c>
      <c r="K7" s="15">
        <v>44.6</v>
      </c>
      <c r="L7" s="4">
        <f>H7-K7</f>
        <v>2.1999999999999957</v>
      </c>
      <c r="M7" s="31">
        <f>J7-G7</f>
        <v>150</v>
      </c>
      <c r="N7" s="4">
        <f>L7/M7</f>
        <v>1.4666666666666639E-2</v>
      </c>
      <c r="O7">
        <f>(L7-$L$12)^2</f>
        <v>3.5999999999995801E-3</v>
      </c>
    </row>
    <row r="8" spans="1:15" x14ac:dyDescent="0.25">
      <c r="A8" s="4">
        <v>4</v>
      </c>
      <c r="B8" s="21">
        <v>90</v>
      </c>
      <c r="C8" s="15">
        <v>48.2</v>
      </c>
      <c r="D8" s="27">
        <f t="shared" si="0"/>
        <v>3.3599999999999994</v>
      </c>
      <c r="F8" s="4">
        <v>2</v>
      </c>
      <c r="G8" s="21">
        <v>210</v>
      </c>
      <c r="H8" s="15">
        <v>46.3</v>
      </c>
      <c r="I8" s="4">
        <v>7</v>
      </c>
      <c r="J8" s="21">
        <v>360</v>
      </c>
      <c r="K8" s="15">
        <v>44.2</v>
      </c>
      <c r="L8" s="4">
        <f t="shared" ref="L8:L11" si="1">H8-K8</f>
        <v>2.0999999999999943</v>
      </c>
      <c r="M8" s="31">
        <f t="shared" ref="M8:M11" si="2">J8-G8</f>
        <v>150</v>
      </c>
      <c r="N8" s="4">
        <f t="shared" ref="N8:N11" si="3">L8/M8</f>
        <v>1.3999999999999962E-2</v>
      </c>
      <c r="O8">
        <f t="shared" ref="O8:O11" si="4">(L8-$L$12)^2</f>
        <v>1.6000000000003936E-3</v>
      </c>
    </row>
    <row r="9" spans="1:15" x14ac:dyDescent="0.25">
      <c r="A9" s="4">
        <v>5</v>
      </c>
      <c r="B9" s="21">
        <v>120</v>
      </c>
      <c r="C9" s="15">
        <v>47.7</v>
      </c>
      <c r="D9" s="27">
        <f t="shared" si="0"/>
        <v>2.8599999999999994</v>
      </c>
      <c r="F9" s="4">
        <v>3</v>
      </c>
      <c r="G9" s="21">
        <v>240</v>
      </c>
      <c r="H9" s="15">
        <v>45.9</v>
      </c>
      <c r="I9" s="4">
        <v>8</v>
      </c>
      <c r="J9" s="21">
        <v>390</v>
      </c>
      <c r="K9" s="15">
        <v>43.8</v>
      </c>
      <c r="L9" s="4">
        <f t="shared" si="1"/>
        <v>2.1000000000000014</v>
      </c>
      <c r="M9" s="31">
        <f t="shared" si="2"/>
        <v>150</v>
      </c>
      <c r="N9" s="4">
        <f t="shared" si="3"/>
        <v>1.4000000000000009E-2</v>
      </c>
      <c r="O9">
        <f t="shared" si="4"/>
        <v>1.5999999999998253E-3</v>
      </c>
    </row>
    <row r="10" spans="1:15" x14ac:dyDescent="0.25">
      <c r="A10" s="4">
        <v>6</v>
      </c>
      <c r="B10" s="21">
        <v>150</v>
      </c>
      <c r="C10" s="15">
        <v>47.2</v>
      </c>
      <c r="D10" s="27">
        <f t="shared" si="0"/>
        <v>2.3599999999999994</v>
      </c>
      <c r="F10" s="4">
        <v>4</v>
      </c>
      <c r="G10" s="21">
        <v>270</v>
      </c>
      <c r="H10" s="15">
        <v>45.5</v>
      </c>
      <c r="I10" s="4">
        <v>9</v>
      </c>
      <c r="J10" s="21">
        <v>420</v>
      </c>
      <c r="K10" s="15">
        <v>43.3</v>
      </c>
      <c r="L10" s="4">
        <f t="shared" si="1"/>
        <v>2.2000000000000028</v>
      </c>
      <c r="M10" s="31">
        <f t="shared" si="2"/>
        <v>150</v>
      </c>
      <c r="N10" s="4">
        <f t="shared" si="3"/>
        <v>1.4666666666666685E-2</v>
      </c>
      <c r="O10">
        <f t="shared" si="4"/>
        <v>3.6000000000004327E-3</v>
      </c>
    </row>
    <row r="11" spans="1:15" x14ac:dyDescent="0.25">
      <c r="A11" s="4">
        <v>7</v>
      </c>
      <c r="B11" s="21">
        <v>180</v>
      </c>
      <c r="C11" s="15">
        <v>46.8</v>
      </c>
      <c r="D11" s="32">
        <f t="shared" si="0"/>
        <v>1.9599999999999937</v>
      </c>
      <c r="F11" s="4">
        <v>5</v>
      </c>
      <c r="G11" s="21">
        <v>300</v>
      </c>
      <c r="H11" s="15">
        <v>45</v>
      </c>
      <c r="I11" s="4">
        <v>10</v>
      </c>
      <c r="J11" s="21">
        <v>450</v>
      </c>
      <c r="K11" s="15">
        <v>42.9</v>
      </c>
      <c r="L11" s="4">
        <f t="shared" si="1"/>
        <v>2.1000000000000014</v>
      </c>
      <c r="M11" s="31">
        <f t="shared" si="2"/>
        <v>150</v>
      </c>
      <c r="N11" s="4">
        <f t="shared" si="3"/>
        <v>1.4000000000000009E-2</v>
      </c>
      <c r="O11">
        <f t="shared" si="4"/>
        <v>1.5999999999998253E-3</v>
      </c>
    </row>
    <row r="12" spans="1:15" x14ac:dyDescent="0.25">
      <c r="A12" s="4">
        <v>8</v>
      </c>
      <c r="B12" s="21">
        <v>210</v>
      </c>
      <c r="C12" s="15">
        <v>46.3</v>
      </c>
      <c r="D12" s="32">
        <f t="shared" si="0"/>
        <v>1.4599999999999937</v>
      </c>
      <c r="K12" s="4" t="s">
        <v>39</v>
      </c>
      <c r="L12" s="4">
        <f>AVERAGE(L7:L11)</f>
        <v>2.1399999999999992</v>
      </c>
      <c r="M12" s="31">
        <f>AVERAGE(M7:M11)</f>
        <v>150</v>
      </c>
      <c r="N12" s="4">
        <f>AVERAGE(N7:N11)</f>
        <v>1.426666666666666E-2</v>
      </c>
    </row>
    <row r="13" spans="1:15" x14ac:dyDescent="0.25">
      <c r="A13" s="4">
        <v>9</v>
      </c>
      <c r="B13" s="21">
        <v>240</v>
      </c>
      <c r="C13" s="15">
        <v>45.9</v>
      </c>
      <c r="D13" s="32">
        <f t="shared" si="0"/>
        <v>1.0599999999999952</v>
      </c>
      <c r="M13" s="8" t="s">
        <v>40</v>
      </c>
    </row>
    <row r="14" spans="1:15" x14ac:dyDescent="0.25">
      <c r="A14" s="4">
        <v>10</v>
      </c>
      <c r="B14" s="21">
        <v>270</v>
      </c>
      <c r="C14" s="15">
        <v>45.5</v>
      </c>
      <c r="D14" s="32">
        <f t="shared" si="0"/>
        <v>0.65999999999999659</v>
      </c>
      <c r="G14" s="25" t="s">
        <v>78</v>
      </c>
      <c r="J14">
        <f>L12</f>
        <v>2.1399999999999992</v>
      </c>
      <c r="K14" t="s">
        <v>71</v>
      </c>
      <c r="L14" s="25" t="s">
        <v>79</v>
      </c>
      <c r="M14" s="52">
        <f>M12</f>
        <v>150</v>
      </c>
      <c r="N14" t="s">
        <v>68</v>
      </c>
    </row>
    <row r="15" spans="1:15" x14ac:dyDescent="0.25">
      <c r="A15" s="4">
        <v>11</v>
      </c>
      <c r="B15" s="21">
        <v>300</v>
      </c>
      <c r="C15" s="15">
        <v>45</v>
      </c>
      <c r="D15" s="32">
        <f t="shared" si="0"/>
        <v>0.15999999999999659</v>
      </c>
      <c r="G15" t="s">
        <v>63</v>
      </c>
      <c r="H15" s="30"/>
      <c r="J15">
        <f>SQRT(SUM(O7:O11)/(5*4))</f>
        <v>2.4494897427831841E-2</v>
      </c>
      <c r="K15" t="s">
        <v>44</v>
      </c>
      <c r="L15" t="s">
        <v>64</v>
      </c>
      <c r="M15">
        <v>0</v>
      </c>
      <c r="N15" t="s">
        <v>65</v>
      </c>
    </row>
    <row r="16" spans="1:15" x14ac:dyDescent="0.25">
      <c r="A16" s="4">
        <v>12</v>
      </c>
      <c r="B16" s="21">
        <v>330</v>
      </c>
      <c r="C16" s="15">
        <v>44.6</v>
      </c>
      <c r="D16" s="32">
        <f t="shared" si="0"/>
        <v>-0.24000000000000199</v>
      </c>
      <c r="G16" t="s">
        <v>69</v>
      </c>
      <c r="H16" t="s">
        <v>70</v>
      </c>
      <c r="J16">
        <f>110+273.15</f>
        <v>383.15</v>
      </c>
      <c r="K16" t="s">
        <v>71</v>
      </c>
      <c r="L16" t="s">
        <v>69</v>
      </c>
      <c r="M16">
        <v>9999.99</v>
      </c>
      <c r="N16" t="s">
        <v>68</v>
      </c>
    </row>
    <row r="17" spans="1:14" x14ac:dyDescent="0.25">
      <c r="A17" s="4">
        <v>13</v>
      </c>
      <c r="B17" s="21">
        <v>360</v>
      </c>
      <c r="C17" s="15">
        <v>44.2</v>
      </c>
      <c r="D17" s="32">
        <f t="shared" si="0"/>
        <v>-0.64000000000000057</v>
      </c>
      <c r="G17" t="s">
        <v>72</v>
      </c>
      <c r="J17">
        <f>0.1/2</f>
        <v>0.05</v>
      </c>
      <c r="K17" t="s">
        <v>71</v>
      </c>
      <c r="L17" t="s">
        <v>72</v>
      </c>
      <c r="M17">
        <f>0.01</f>
        <v>0.01</v>
      </c>
      <c r="N17" t="s">
        <v>68</v>
      </c>
    </row>
    <row r="18" spans="1:14" x14ac:dyDescent="0.25">
      <c r="A18" s="4">
        <v>14</v>
      </c>
      <c r="B18" s="21">
        <v>390</v>
      </c>
      <c r="C18" s="15">
        <v>43.8</v>
      </c>
      <c r="D18" s="32">
        <f t="shared" si="0"/>
        <v>-1.0400000000000063</v>
      </c>
      <c r="G18" s="25" t="s">
        <v>109</v>
      </c>
      <c r="J18">
        <f>J16*J17/100</f>
        <v>0.191575</v>
      </c>
      <c r="K18" t="s">
        <v>110</v>
      </c>
      <c r="L18" s="25" t="s">
        <v>109</v>
      </c>
      <c r="M18">
        <f>M16*M17/100</f>
        <v>0.99999899999999997</v>
      </c>
      <c r="N18" t="s">
        <v>111</v>
      </c>
    </row>
    <row r="19" spans="1:14" x14ac:dyDescent="0.25">
      <c r="A19" s="4">
        <v>15</v>
      </c>
      <c r="B19" s="21">
        <v>420</v>
      </c>
      <c r="C19" s="15">
        <v>43.3</v>
      </c>
      <c r="D19" s="32">
        <f t="shared" si="0"/>
        <v>-1.5400000000000063</v>
      </c>
      <c r="G19" t="s">
        <v>73</v>
      </c>
      <c r="J19">
        <f>2*J18/SQRT(3)</f>
        <v>0.22121175564000511</v>
      </c>
      <c r="K19" t="s">
        <v>71</v>
      </c>
      <c r="L19" t="s">
        <v>74</v>
      </c>
      <c r="M19">
        <f>2*M18/SQRT(3)</f>
        <v>1.1546993836787132</v>
      </c>
      <c r="N19" t="s">
        <v>68</v>
      </c>
    </row>
    <row r="20" spans="1:14" x14ac:dyDescent="0.25">
      <c r="A20" s="4">
        <v>16</v>
      </c>
      <c r="B20" s="21">
        <v>450</v>
      </c>
      <c r="C20" s="15">
        <v>42.9</v>
      </c>
      <c r="D20" s="32">
        <f t="shared" si="0"/>
        <v>-1.9400000000000048</v>
      </c>
      <c r="G20" t="s">
        <v>66</v>
      </c>
      <c r="J20">
        <f>SQRT((H26*J15)^2+(J19)^2)</f>
        <v>0.23145556989049401</v>
      </c>
      <c r="K20" t="s">
        <v>71</v>
      </c>
      <c r="L20" t="s">
        <v>67</v>
      </c>
      <c r="M20">
        <f>SQRT((H26*M15)^2+(M19)^2)</f>
        <v>1.1546993836787132</v>
      </c>
      <c r="N20" t="s">
        <v>68</v>
      </c>
    </row>
    <row r="21" spans="1:14" x14ac:dyDescent="0.25">
      <c r="A21" s="4">
        <v>17</v>
      </c>
      <c r="B21" s="21">
        <v>480</v>
      </c>
      <c r="C21" s="15">
        <v>42.5</v>
      </c>
      <c r="D21" s="27">
        <f t="shared" si="0"/>
        <v>-2.3400000000000034</v>
      </c>
    </row>
    <row r="22" spans="1:14" x14ac:dyDescent="0.25">
      <c r="A22" s="4">
        <v>18</v>
      </c>
      <c r="B22" s="21">
        <v>510</v>
      </c>
      <c r="C22" s="15">
        <v>42.2</v>
      </c>
      <c r="D22" s="27">
        <f t="shared" si="0"/>
        <v>-2.6400000000000006</v>
      </c>
      <c r="G22" s="30" t="s">
        <v>61</v>
      </c>
      <c r="H22" s="25"/>
      <c r="J22">
        <f>N12</f>
        <v>1.426666666666666E-2</v>
      </c>
      <c r="K22" t="s">
        <v>106</v>
      </c>
    </row>
    <row r="23" spans="1:14" x14ac:dyDescent="0.25">
      <c r="D23" s="2"/>
    </row>
    <row r="24" spans="1:14" x14ac:dyDescent="0.25">
      <c r="B24" s="68" t="s">
        <v>99</v>
      </c>
      <c r="C24" s="69"/>
      <c r="D24" s="2"/>
      <c r="G24" s="1" t="s">
        <v>75</v>
      </c>
      <c r="H24" s="1"/>
      <c r="I24" s="1"/>
    </row>
    <row r="25" spans="1:14" x14ac:dyDescent="0.25">
      <c r="B25" t="s">
        <v>103</v>
      </c>
    </row>
    <row r="26" spans="1:14" x14ac:dyDescent="0.25">
      <c r="G26" t="s">
        <v>41</v>
      </c>
      <c r="H26">
        <v>2.78</v>
      </c>
    </row>
    <row r="27" spans="1:14" x14ac:dyDescent="0.25">
      <c r="G27" t="s">
        <v>42</v>
      </c>
    </row>
  </sheetData>
  <autoFilter ref="A4:D22" xr:uid="{42CA7A7B-9C25-45CA-9C4F-E6765BDE17A9}"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几何参数</vt:lpstr>
      <vt:lpstr>升温</vt:lpstr>
      <vt:lpstr>冷却 (画图)</vt:lpstr>
      <vt:lpstr>冷却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momooo</dc:creator>
  <cp:lastModifiedBy>Administrator momooo</cp:lastModifiedBy>
  <dcterms:created xsi:type="dcterms:W3CDTF">2025-11-20T01:36:40Z</dcterms:created>
  <dcterms:modified xsi:type="dcterms:W3CDTF">2025-11-23T03:58:29Z</dcterms:modified>
</cp:coreProperties>
</file>