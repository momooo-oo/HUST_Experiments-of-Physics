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新文件\3. 大二上\1. 学习资料\7. 物理实验\4. 声速与光速测量\数据处理\"/>
    </mc:Choice>
  </mc:AlternateContent>
  <xr:revisionPtr revIDLastSave="0" documentId="13_ncr:1_{741D973F-A0DA-4721-ACBC-74D2336C0269}" xr6:coauthVersionLast="47" xr6:coauthVersionMax="47" xr10:uidLastSave="{00000000-0000-0000-0000-000000000000}"/>
  <bookViews>
    <workbookView xWindow="-108" yWindow="-108" windowWidth="23256" windowHeight="13896" activeTab="5" xr2:uid="{83E81A67-9B8E-43D8-9826-D5E93D268221}"/>
  </bookViews>
  <sheets>
    <sheet name="Sheet1" sheetId="1" r:id="rId1"/>
    <sheet name="Sheet2" sheetId="8" r:id="rId2"/>
    <sheet name="Sheet3" sheetId="9" r:id="rId3"/>
    <sheet name="Sheet4" sheetId="4" r:id="rId4"/>
    <sheet name="Sheet5" sheetId="10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6" l="1"/>
  <c r="B14" i="6" s="1"/>
  <c r="B13" i="6"/>
  <c r="G3" i="4"/>
  <c r="D14" i="8"/>
  <c r="D12" i="8"/>
  <c r="B11" i="6"/>
  <c r="G3" i="6"/>
  <c r="B7" i="6"/>
  <c r="C6" i="6"/>
  <c r="D6" i="6"/>
  <c r="B6" i="6"/>
  <c r="B24" i="10"/>
  <c r="D18" i="10"/>
  <c r="C18" i="10"/>
  <c r="B18" i="10"/>
  <c r="D15" i="10"/>
  <c r="C15" i="10"/>
  <c r="B15" i="10"/>
  <c r="B19" i="10" s="1"/>
  <c r="D6" i="10"/>
  <c r="D7" i="10" s="1"/>
  <c r="C6" i="10"/>
  <c r="C7" i="10" s="1"/>
  <c r="B6" i="10"/>
  <c r="B7" i="10" s="1"/>
  <c r="G3" i="10"/>
  <c r="B24" i="4"/>
  <c r="C6" i="4"/>
  <c r="C7" i="4" s="1"/>
  <c r="D6" i="4"/>
  <c r="D7" i="4" s="1"/>
  <c r="B6" i="4"/>
  <c r="B7" i="4" s="1"/>
  <c r="C18" i="4"/>
  <c r="D18" i="4"/>
  <c r="B18" i="4"/>
  <c r="C15" i="4"/>
  <c r="D15" i="4"/>
  <c r="B15" i="4"/>
  <c r="D12" i="9"/>
  <c r="I10" i="9"/>
  <c r="I1" i="9"/>
  <c r="E9" i="9"/>
  <c r="E8" i="9"/>
  <c r="E7" i="9"/>
  <c r="E6" i="9"/>
  <c r="E5" i="9"/>
  <c r="E4" i="9"/>
  <c r="D16" i="8"/>
  <c r="B8" i="10" l="1"/>
  <c r="B8" i="4"/>
  <c r="B15" i="6"/>
  <c r="C19" i="10"/>
  <c r="D19" i="10"/>
  <c r="D19" i="4"/>
  <c r="C19" i="4"/>
  <c r="B19" i="4"/>
  <c r="E10" i="9"/>
  <c r="B21" i="4" l="1"/>
  <c r="D21" i="4" s="1"/>
  <c r="B22" i="4" s="1"/>
  <c r="B23" i="4" s="1"/>
  <c r="B25" i="4"/>
  <c r="B26" i="4"/>
  <c r="B21" i="10"/>
  <c r="D21" i="10" s="1"/>
  <c r="B22" i="10" s="1"/>
  <c r="B23" i="10" s="1"/>
  <c r="B26" i="10" l="1"/>
  <c r="B25" i="10"/>
  <c r="E9" i="8" l="1"/>
  <c r="E8" i="8"/>
  <c r="E7" i="8"/>
  <c r="E6" i="8"/>
  <c r="E5" i="8"/>
  <c r="E4" i="8"/>
  <c r="D18" i="1"/>
  <c r="D19" i="1"/>
  <c r="D17" i="1"/>
  <c r="D16" i="1"/>
  <c r="E5" i="1"/>
  <c r="E6" i="1"/>
  <c r="E7" i="1"/>
  <c r="E8" i="1"/>
  <c r="E9" i="1"/>
  <c r="E4" i="1"/>
  <c r="E10" i="8" l="1"/>
  <c r="E10" i="1"/>
  <c r="F6" i="8" l="1"/>
  <c r="F9" i="8"/>
  <c r="F8" i="8"/>
  <c r="F7" i="8"/>
  <c r="F5" i="8"/>
  <c r="F4" i="8"/>
  <c r="F6" i="1"/>
  <c r="F8" i="1"/>
  <c r="F5" i="1"/>
  <c r="F7" i="1"/>
  <c r="F4" i="1"/>
  <c r="F9" i="1"/>
  <c r="D17" i="8" l="1"/>
  <c r="D19" i="8" s="1"/>
</calcChain>
</file>

<file path=xl/sharedStrings.xml><?xml version="1.0" encoding="utf-8"?>
<sst xmlns="http://schemas.openxmlformats.org/spreadsheetml/2006/main" count="160" uniqueCount="75">
  <si>
    <t>测量次数</t>
    <phoneticPr fontId="2" type="noConversion"/>
  </si>
  <si>
    <t>振幅最大位置(mm)</t>
    <phoneticPr fontId="2" type="noConversion"/>
  </si>
  <si>
    <t>f空气(Hz)</t>
    <phoneticPr fontId="2" type="noConversion"/>
  </si>
  <si>
    <t>f水(Hz)</t>
    <phoneticPr fontId="2" type="noConversion"/>
  </si>
  <si>
    <t>室温(℃)</t>
    <phoneticPr fontId="2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</si>
  <si>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l=(l(n+6)-ln)/6
(mm)</t>
    </r>
    <phoneticPr fontId="2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</si>
  <si>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 xml:space="preserve">l </t>
    </r>
    <r>
      <rPr>
        <sz val="11"/>
        <color theme="1"/>
        <rFont val="Calibri"/>
        <family val="2"/>
      </rPr>
      <t>bar</t>
    </r>
    <phoneticPr fontId="2" type="noConversion"/>
  </si>
  <si>
    <r>
      <t>(Δ</t>
    </r>
    <r>
      <rPr>
        <sz val="11"/>
        <color theme="1"/>
        <rFont val="Calibri"/>
        <family val="2"/>
      </rPr>
      <t>l-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Calibri"/>
        <family val="2"/>
      </rPr>
      <t>l bar</t>
    </r>
    <r>
      <rPr>
        <sz val="11"/>
        <color theme="1"/>
        <rFont val="宋体"/>
        <family val="2"/>
        <charset val="134"/>
      </rPr>
      <t>)^2</t>
    </r>
    <phoneticPr fontId="2" type="noConversion"/>
  </si>
  <si>
    <t>uA</t>
    <phoneticPr fontId="2" type="noConversion"/>
  </si>
  <si>
    <t>mm</t>
    <phoneticPr fontId="2" type="noConversion"/>
  </si>
  <si>
    <t>tp</t>
    <phoneticPr fontId="2" type="noConversion"/>
  </si>
  <si>
    <t>(p=95.5%,n=6)</t>
    <phoneticPr fontId="2" type="noConversion"/>
  </si>
  <si>
    <t>理论值</t>
    <phoneticPr fontId="2" type="noConversion"/>
  </si>
  <si>
    <t>m/s</t>
    <phoneticPr fontId="2" type="noConversion"/>
  </si>
  <si>
    <t>测量值</t>
    <phoneticPr fontId="2" type="noConversion"/>
  </si>
  <si>
    <r>
      <t>绝对误差</t>
    </r>
    <r>
      <rPr>
        <sz val="11"/>
        <rFont val="Calibri"/>
        <family val="2"/>
        <charset val="161"/>
      </rPr>
      <t>Δ</t>
    </r>
    <r>
      <rPr>
        <sz val="11"/>
        <rFont val="宋体"/>
        <family val="2"/>
        <charset val="134"/>
      </rPr>
      <t>v</t>
    </r>
    <phoneticPr fontId="2" type="noConversion"/>
  </si>
  <si>
    <r>
      <t>相对误差</t>
    </r>
    <r>
      <rPr>
        <i/>
        <sz val="11"/>
        <rFont val="宋体"/>
        <family val="3"/>
        <charset val="134"/>
      </rPr>
      <t>Er</t>
    </r>
    <phoneticPr fontId="2" type="noConversion"/>
  </si>
  <si>
    <r>
      <t>(留</t>
    </r>
    <r>
      <rPr>
        <b/>
        <sz val="11"/>
        <rFont val="宋体"/>
        <family val="3"/>
        <charset val="134"/>
      </rPr>
      <t>一位小数</t>
    </r>
    <r>
      <rPr>
        <sz val="11"/>
        <rFont val="宋体"/>
        <family val="2"/>
        <charset val="134"/>
      </rPr>
      <t>)</t>
    </r>
    <phoneticPr fontId="2" type="noConversion"/>
  </si>
  <si>
    <t>共振干涉法测空气声速</t>
    <phoneticPr fontId="2" type="noConversion"/>
  </si>
  <si>
    <t>相位比较法测水中声速</t>
    <phoneticPr fontId="2" type="noConversion"/>
  </si>
  <si>
    <t>制作:</t>
    <phoneticPr fontId="11" type="noConversion"/>
  </si>
  <si>
    <t>机械学院 24级 momooo</t>
    <phoneticPr fontId="2" type="noConversion"/>
  </si>
  <si>
    <t>Last Updated:</t>
  </si>
  <si>
    <t>UA</t>
    <phoneticPr fontId="2" type="noConversion"/>
  </si>
  <si>
    <t>mm（保留一位）</t>
    <phoneticPr fontId="2" type="noConversion"/>
  </si>
  <si>
    <r>
      <rPr>
        <b/>
        <sz val="11"/>
        <color theme="1"/>
        <rFont val="宋体"/>
        <family val="3"/>
        <charset val="134"/>
      </rPr>
      <t>使用方法：</t>
    </r>
    <r>
      <rPr>
        <sz val="11"/>
        <color theme="1"/>
        <rFont val="宋体"/>
        <family val="2"/>
        <charset val="134"/>
      </rPr>
      <t>输入蓝底数据即可。</t>
    </r>
    <phoneticPr fontId="2" type="noConversion"/>
  </si>
  <si>
    <t>时差法测水中声速（选做）</t>
    <phoneticPr fontId="2" type="noConversion"/>
  </si>
  <si>
    <t>斜直线位置(mm)</t>
    <phoneticPr fontId="2" type="noConversion"/>
  </si>
  <si>
    <r>
      <t>时间(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s)</t>
    </r>
    <phoneticPr fontId="2" type="noConversion"/>
  </si>
  <si>
    <t>=</t>
    <phoneticPr fontId="2" type="noConversion"/>
  </si>
  <si>
    <t>m</t>
    <phoneticPr fontId="2" type="noConversion"/>
  </si>
  <si>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Calibri"/>
        <family val="2"/>
      </rPr>
      <t>s</t>
    </r>
    <phoneticPr fontId="2" type="noConversion"/>
  </si>
  <si>
    <t>s</t>
    <phoneticPr fontId="2" type="noConversion"/>
  </si>
  <si>
    <t>单次移动距离L</t>
    <phoneticPr fontId="2" type="noConversion"/>
  </si>
  <si>
    <r>
      <rPr>
        <sz val="11"/>
        <color theme="1"/>
        <rFont val="Calibri"/>
        <family val="2"/>
      </rPr>
      <t>T</t>
    </r>
    <r>
      <rPr>
        <sz val="11"/>
        <color theme="1"/>
        <rFont val="宋体"/>
        <family val="2"/>
        <charset val="134"/>
      </rPr>
      <t xml:space="preserve"> bar</t>
    </r>
    <phoneticPr fontId="2" type="noConversion"/>
  </si>
  <si>
    <t>相位法测光速（正弦）</t>
    <phoneticPr fontId="2" type="noConversion"/>
  </si>
  <si>
    <t>水平偏转因子</t>
    <phoneticPr fontId="2" type="noConversion"/>
  </si>
  <si>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Calibri"/>
        <family val="2"/>
      </rPr>
      <t>s/DIV</t>
    </r>
    <phoneticPr fontId="2" type="noConversion"/>
  </si>
  <si>
    <t>相邻参考点间距(格数)</t>
    <phoneticPr fontId="2" type="noConversion"/>
  </si>
  <si>
    <r>
      <t>周期T(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s)</t>
    </r>
    <phoneticPr fontId="2" type="noConversion"/>
  </si>
  <si>
    <t>参考点移动格数</t>
    <phoneticPr fontId="2" type="noConversion"/>
  </si>
  <si>
    <r>
      <t>参考点水平移动距离(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s)</t>
    </r>
    <phoneticPr fontId="2" type="noConversion"/>
  </si>
  <si>
    <t>反射镜滑块初位置(mm)</t>
    <phoneticPr fontId="2" type="noConversion"/>
  </si>
  <si>
    <t>反射镜滑块末位置(mm)</t>
    <phoneticPr fontId="2" type="noConversion"/>
  </si>
  <si>
    <t>移动距离(mm)</t>
    <phoneticPr fontId="2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</si>
  <si>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x/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t(mm/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s)</t>
    </r>
    <phoneticPr fontId="2" type="noConversion"/>
  </si>
  <si>
    <t>ft</t>
    <phoneticPr fontId="2" type="noConversion"/>
  </si>
  <si>
    <t>Hz</t>
    <phoneticPr fontId="2" type="noConversion"/>
  </si>
  <si>
    <t>average T(s)</t>
    <phoneticPr fontId="2" type="noConversion"/>
  </si>
  <si>
    <t>(m/s)</t>
    <phoneticPr fontId="2" type="noConversion"/>
  </si>
  <si>
    <t>c测量值</t>
    <phoneticPr fontId="2" type="noConversion"/>
  </si>
  <si>
    <t>c理论值</t>
    <phoneticPr fontId="2" type="noConversion"/>
  </si>
  <si>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</rPr>
      <t>t</t>
    </r>
    <phoneticPr fontId="2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</si>
  <si>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x/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t平均值</t>
    </r>
    <phoneticPr fontId="2" type="noConversion"/>
  </si>
  <si>
    <r>
      <t>(mm/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s)  =</t>
    </r>
    <phoneticPr fontId="2" type="noConversion"/>
  </si>
  <si>
    <t>保留四位有效数字</t>
    <phoneticPr fontId="2" type="noConversion"/>
  </si>
  <si>
    <t>m/s(留四位有效数字)</t>
    <phoneticPr fontId="2" type="noConversion"/>
  </si>
  <si>
    <t>保留三位有效数字</t>
    <phoneticPr fontId="2" type="noConversion"/>
  </si>
  <si>
    <t>李萨如图形法测光速（正弦）</t>
    <phoneticPr fontId="2" type="noConversion"/>
  </si>
  <si>
    <t>差频后频率测量值(kHz)</t>
    <phoneticPr fontId="2" type="noConversion"/>
  </si>
  <si>
    <t>(留三位，标准值455kHz)</t>
    <phoneticPr fontId="2" type="noConversion"/>
  </si>
  <si>
    <r>
      <t>反射镜滑块移动距离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x(mm)</t>
    </r>
    <phoneticPr fontId="2" type="noConversion"/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</si>
  <si>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x bar(mm)</t>
    </r>
    <phoneticPr fontId="2" type="noConversion"/>
  </si>
  <si>
    <t>λ</t>
    <phoneticPr fontId="2" type="noConversion"/>
  </si>
  <si>
    <t>←自动引用，不用输</t>
    <phoneticPr fontId="2" type="noConversion"/>
  </si>
  <si>
    <t>相位法测光速（方波）（选做）</t>
    <phoneticPr fontId="2" type="noConversion"/>
  </si>
  <si>
    <t>m/s（留两位小数）</t>
    <phoneticPr fontId="2" type="noConversion"/>
  </si>
  <si>
    <r>
      <t>mm(计算中间过程，可留</t>
    </r>
    <r>
      <rPr>
        <b/>
        <sz val="11"/>
        <color theme="1"/>
        <rFont val="宋体"/>
        <family val="3"/>
        <charset val="134"/>
      </rPr>
      <t>三位有效数字</t>
    </r>
    <r>
      <rPr>
        <sz val="11"/>
        <color theme="1"/>
        <rFont val="宋体"/>
        <family val="2"/>
        <charset val="134"/>
      </rPr>
      <t>)</t>
    </r>
    <phoneticPr fontId="2" type="noConversion"/>
  </si>
  <si>
    <r>
      <t>T=(t(n+6)-tn)/6
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s)</t>
    </r>
    <phoneticPr fontId="2" type="noConversion"/>
  </si>
  <si>
    <r>
      <t>绝对误差</t>
    </r>
    <r>
      <rPr>
        <sz val="11"/>
        <rFont val="Calibri"/>
        <family val="2"/>
        <charset val="161"/>
      </rPr>
      <t>Δc</t>
    </r>
    <phoneticPr fontId="2" type="noConversion"/>
  </si>
  <si>
    <t>2025.12.16  21:17</t>
    <phoneticPr fontId="11" type="noConversion"/>
  </si>
  <si>
    <t>v0.1</t>
    <phoneticPr fontId="2" type="noConversion"/>
  </si>
  <si>
    <r>
      <rPr>
        <b/>
        <u/>
        <sz val="16"/>
        <color rgb="FFFF0000"/>
        <rFont val="宋体"/>
        <family val="3"/>
        <charset val="134"/>
      </rPr>
      <t>有效数字取舍仅供参考。</t>
    </r>
    <r>
      <rPr>
        <b/>
        <sz val="11"/>
        <color rgb="FFFF0000"/>
        <rFont val="宋体"/>
        <family val="3"/>
        <charset val="134"/>
      </rPr>
      <t>取几位有效数字、各类计算过程请在报告中注明。</t>
    </r>
    <phoneticPr fontId="2" type="noConversion"/>
  </si>
  <si>
    <t>与末尾对齐</t>
    <phoneticPr fontId="2" type="noConversion"/>
  </si>
  <si>
    <r>
      <t>c=4ft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charset val="134"/>
      </rPr>
      <t>x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</si>
</sst>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"/>
    <numFmt numFmtId="177" formatCode="0.0"/>
    <numFmt numFmtId="178" formatCode="0.000E+00"/>
    <numFmt numFmtId="179" formatCode="0.00000E+00"/>
    <numFmt numFmtId="180" formatCode="0.000%"/>
    <numFmt numFmtId="181" formatCode="0.0E+00"/>
  </numFmts>
  <fonts count="15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</font>
    <font>
      <sz val="11"/>
      <color theme="1"/>
      <name val="Calibri"/>
      <family val="2"/>
    </font>
    <font>
      <sz val="11"/>
      <name val="宋体"/>
      <family val="2"/>
      <charset val="134"/>
    </font>
    <font>
      <sz val="11"/>
      <name val="Calibri"/>
      <family val="2"/>
      <charset val="161"/>
    </font>
    <font>
      <i/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u/>
      <sz val="16"/>
      <color rgb="FFFF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2" fontId="0" fillId="2" borderId="4" xfId="0" applyNumberFormat="1" applyFill="1" applyBorder="1" applyAlignment="1">
      <alignment horizontal="center"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2" fontId="6" fillId="3" borderId="1" xfId="0" applyNumberFormat="1" applyFont="1" applyFill="1" applyBorder="1">
      <alignment vertical="center"/>
    </xf>
    <xf numFmtId="0" fontId="0" fillId="0" borderId="0" xfId="0" applyAlignment="1">
      <alignment horizontal="right" vertical="center"/>
    </xf>
    <xf numFmtId="0" fontId="0" fillId="4" borderId="0" xfId="0" applyFill="1">
      <alignment vertical="center"/>
    </xf>
    <xf numFmtId="0" fontId="6" fillId="3" borderId="1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0" fillId="5" borderId="0" xfId="0" applyFill="1">
      <alignment vertical="center"/>
    </xf>
    <xf numFmtId="0" fontId="10" fillId="0" borderId="0" xfId="0" applyFont="1" applyAlignment="1">
      <alignment horizontal="right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0" fillId="3" borderId="2" xfId="0" applyFill="1" applyBorder="1">
      <alignment vertical="center"/>
    </xf>
    <xf numFmtId="0" fontId="0" fillId="3" borderId="3" xfId="0" applyFill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0" fontId="0" fillId="3" borderId="3" xfId="0" applyFill="1" applyBorder="1">
      <alignment vertical="center"/>
    </xf>
    <xf numFmtId="0" fontId="4" fillId="3" borderId="2" xfId="0" applyFont="1" applyFill="1" applyBorder="1">
      <alignment vertical="center"/>
    </xf>
    <xf numFmtId="0" fontId="13" fillId="0" borderId="0" xfId="0" applyFont="1">
      <alignment vertical="center"/>
    </xf>
    <xf numFmtId="0" fontId="0" fillId="0" borderId="2" xfId="0" applyBorder="1" applyAlignment="1">
      <alignment horizontal="right" vertical="center"/>
    </xf>
    <xf numFmtId="0" fontId="6" fillId="3" borderId="1" xfId="0" applyFont="1" applyFill="1" applyBorder="1" applyAlignment="1">
      <alignment horizontal="right" vertical="center"/>
    </xf>
    <xf numFmtId="0" fontId="0" fillId="6" borderId="0" xfId="0" applyFill="1">
      <alignment vertical="center"/>
    </xf>
    <xf numFmtId="1" fontId="0" fillId="2" borderId="1" xfId="0" applyNumberFormat="1" applyFill="1" applyBorder="1" applyAlignment="1">
      <alignment horizontal="center" vertical="center"/>
    </xf>
    <xf numFmtId="2" fontId="0" fillId="0" borderId="4" xfId="0" applyNumberFormat="1" applyBorder="1">
      <alignment vertical="center"/>
    </xf>
    <xf numFmtId="0" fontId="3" fillId="3" borderId="3" xfId="0" applyFont="1" applyFill="1" applyBorder="1">
      <alignment vertical="center"/>
    </xf>
    <xf numFmtId="0" fontId="4" fillId="3" borderId="2" xfId="0" applyFont="1" applyFill="1" applyBorder="1" applyAlignment="1">
      <alignment horizontal="right" vertical="center"/>
    </xf>
    <xf numFmtId="0" fontId="0" fillId="7" borderId="0" xfId="0" applyFill="1">
      <alignment vertical="center"/>
    </xf>
    <xf numFmtId="0" fontId="3" fillId="0" borderId="7" xfId="0" applyFont="1" applyBorder="1">
      <alignment vertical="center"/>
    </xf>
    <xf numFmtId="177" fontId="0" fillId="0" borderId="1" xfId="0" applyNumberFormat="1" applyBorder="1">
      <alignment vertical="center"/>
    </xf>
    <xf numFmtId="0" fontId="0" fillId="0" borderId="4" xfId="0" applyBorder="1" applyAlignment="1">
      <alignment horizontal="right" vertical="center"/>
    </xf>
    <xf numFmtId="177" fontId="0" fillId="2" borderId="1" xfId="0" applyNumberFormat="1" applyFill="1" applyBorder="1">
      <alignment vertical="center"/>
    </xf>
    <xf numFmtId="0" fontId="4" fillId="0" borderId="1" xfId="0" applyFont="1" applyBorder="1">
      <alignment vertical="center"/>
    </xf>
    <xf numFmtId="0" fontId="0" fillId="3" borderId="5" xfId="0" applyFill="1" applyBorder="1">
      <alignment vertical="center"/>
    </xf>
    <xf numFmtId="0" fontId="4" fillId="3" borderId="1" xfId="0" applyFont="1" applyFill="1" applyBorder="1">
      <alignment vertical="center"/>
    </xf>
    <xf numFmtId="0" fontId="0" fillId="3" borderId="6" xfId="0" applyFill="1" applyBorder="1">
      <alignment vertical="center"/>
    </xf>
    <xf numFmtId="0" fontId="0" fillId="3" borderId="9" xfId="0" applyFill="1" applyBorder="1">
      <alignment vertical="center"/>
    </xf>
    <xf numFmtId="178" fontId="0" fillId="3" borderId="2" xfId="0" applyNumberFormat="1" applyFill="1" applyBorder="1">
      <alignment vertical="center"/>
    </xf>
    <xf numFmtId="180" fontId="6" fillId="3" borderId="3" xfId="1" applyNumberFormat="1" applyFont="1" applyFill="1" applyBorder="1">
      <alignment vertical="center"/>
    </xf>
    <xf numFmtId="179" fontId="6" fillId="3" borderId="3" xfId="0" applyNumberFormat="1" applyFont="1" applyFill="1" applyBorder="1">
      <alignment vertical="center"/>
    </xf>
    <xf numFmtId="177" fontId="0" fillId="3" borderId="1" xfId="0" applyNumberFormat="1" applyFill="1" applyBorder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1" fontId="0" fillId="0" borderId="1" xfId="0" applyNumberFormat="1" applyBorder="1">
      <alignment vertical="center"/>
    </xf>
    <xf numFmtId="0" fontId="3" fillId="3" borderId="1" xfId="0" applyFont="1" applyFill="1" applyBorder="1">
      <alignment vertical="center"/>
    </xf>
    <xf numFmtId="176" fontId="0" fillId="3" borderId="1" xfId="0" applyNumberFormat="1" applyFill="1" applyBorder="1">
      <alignment vertical="center"/>
    </xf>
    <xf numFmtId="180" fontId="6" fillId="3" borderId="1" xfId="1" applyNumberFormat="1" applyFont="1" applyFill="1" applyBorder="1">
      <alignment vertical="center"/>
    </xf>
    <xf numFmtId="0" fontId="12" fillId="0" borderId="0" xfId="0" applyFont="1">
      <alignment vertical="center"/>
    </xf>
    <xf numFmtId="178" fontId="0" fillId="3" borderId="8" xfId="0" applyNumberFormat="1" applyFill="1" applyBorder="1">
      <alignment vertical="center"/>
    </xf>
    <xf numFmtId="11" fontId="0" fillId="0" borderId="0" xfId="0" applyNumberFormat="1">
      <alignment vertical="center"/>
    </xf>
    <xf numFmtId="2" fontId="0" fillId="3" borderId="2" xfId="0" applyNumberFormat="1" applyFill="1" applyBorder="1">
      <alignment vertical="center"/>
    </xf>
    <xf numFmtId="181" fontId="6" fillId="3" borderId="1" xfId="0" applyNumberFormat="1" applyFont="1" applyFill="1" applyBorder="1">
      <alignment vertical="center"/>
    </xf>
    <xf numFmtId="11" fontId="6" fillId="3" borderId="1" xfId="0" applyNumberFormat="1" applyFont="1" applyFill="1" applyBorder="1">
      <alignment vertical="center"/>
    </xf>
    <xf numFmtId="0" fontId="6" fillId="3" borderId="3" xfId="0" applyNumberFormat="1" applyFont="1" applyFill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152401</xdr:colOff>
      <xdr:row>2</xdr:row>
      <xdr:rowOff>268853</xdr:rowOff>
    </xdr:from>
    <xdr:to>
      <xdr:col>12</xdr:col>
      <xdr:colOff>175261</xdr:colOff>
      <xdr:row>5</xdr:row>
      <xdr:rowOff>72129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BFB5764-7F91-7505-9190-753E19769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30341" y="634613"/>
          <a:ext cx="1851660" cy="5347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83742</xdr:colOff>
      <xdr:row>7</xdr:row>
      <xdr:rowOff>142984</xdr:rowOff>
    </xdr:from>
    <xdr:to>
      <xdr:col>20</xdr:col>
      <xdr:colOff>247928</xdr:colOff>
      <xdr:row>15</xdr:row>
      <xdr:rowOff>152400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FC10BAA-DAEC-EE59-7C43-E1CCE53CF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1682" y="1606024"/>
          <a:ext cx="6869786" cy="147245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99061</xdr:colOff>
      <xdr:row>18</xdr:row>
      <xdr:rowOff>38100</xdr:rowOff>
    </xdr:from>
    <xdr:to>
      <xdr:col>15</xdr:col>
      <xdr:colOff>137161</xdr:colOff>
      <xdr:row>24</xdr:row>
      <xdr:rowOff>139191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FECBAFF9-3C7D-E332-D914-E50CD70C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1" y="3512820"/>
          <a:ext cx="3695700" cy="127457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167640</xdr:colOff>
      <xdr:row>6</xdr:row>
      <xdr:rowOff>43909</xdr:rowOff>
    </xdr:from>
    <xdr:to>
      <xdr:col>14</xdr:col>
      <xdr:colOff>192708</xdr:colOff>
      <xdr:row>22</xdr:row>
      <xdr:rowOff>178129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819D6FB-5CE1-488B-ABAA-076AAB8C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26380" y="1324069"/>
          <a:ext cx="4292268" cy="30603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381000</xdr:colOff>
      <xdr:row>8</xdr:row>
      <xdr:rowOff>65678</xdr:rowOff>
    </xdr:from>
    <xdr:to>
      <xdr:col>20</xdr:col>
      <xdr:colOff>490692</xdr:colOff>
      <xdr:row>18</xdr:row>
      <xdr:rowOff>176753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4E82C3B-17FE-41D8-9AD6-C8656DF19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06940" y="1711598"/>
          <a:ext cx="3767292" cy="1939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289561</xdr:colOff>
      <xdr:row>2</xdr:row>
      <xdr:rowOff>101213</xdr:rowOff>
    </xdr:from>
    <xdr:to>
      <xdr:col>10</xdr:col>
      <xdr:colOff>312421</xdr:colOff>
      <xdr:row>4</xdr:row>
      <xdr:rowOff>87369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6D49043-770B-4EA0-B7C5-3CF3A3186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8301" y="466973"/>
          <a:ext cx="1851660" cy="5347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11</xdr:col>
      <xdr:colOff>556260</xdr:colOff>
      <xdr:row>1</xdr:row>
      <xdr:rowOff>93647</xdr:rowOff>
    </xdr:from>
    <xdr:to>
      <xdr:col>18</xdr:col>
      <xdr:colOff>26144</xdr:colOff>
      <xdr:row>5</xdr:row>
      <xdr:rowOff>100835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BE66EE6A-BD61-8616-C390-E8E846090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53400" y="276527"/>
          <a:ext cx="3737084" cy="921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2</xdr:row>
      <xdr:rowOff>320040</xdr:rowOff>
    </xdr:from>
    <xdr:to>
      <xdr:col>13</xdr:col>
      <xdr:colOff>100213</xdr:colOff>
      <xdr:row>5</xdr:row>
      <xdr:rowOff>53340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45403C5-88F3-EC8B-A9A1-1AC2F37A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0760" y="685800"/>
          <a:ext cx="2310013" cy="46482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6</xdr:row>
      <xdr:rowOff>7620</xdr:rowOff>
    </xdr:from>
    <xdr:to>
      <xdr:col>8</xdr:col>
      <xdr:colOff>490654</xdr:colOff>
      <xdr:row>8</xdr:row>
      <xdr:rowOff>137160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85A11A8-A798-F93D-230D-429B7D45C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880" y="1104900"/>
          <a:ext cx="1328854" cy="4953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502919</xdr:colOff>
      <xdr:row>9</xdr:row>
      <xdr:rowOff>45720</xdr:rowOff>
    </xdr:from>
    <xdr:to>
      <xdr:col>9</xdr:col>
      <xdr:colOff>397548</xdr:colOff>
      <xdr:row>13</xdr:row>
      <xdr:rowOff>114300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5BA97C1-0B2C-9334-EA4A-C2307B913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499" y="1874520"/>
          <a:ext cx="1837729" cy="8001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495299</xdr:colOff>
      <xdr:row>6</xdr:row>
      <xdr:rowOff>68580</xdr:rowOff>
    </xdr:from>
    <xdr:to>
      <xdr:col>15</xdr:col>
      <xdr:colOff>104366</xdr:colOff>
      <xdr:row>8</xdr:row>
      <xdr:rowOff>74249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3BB58C8-34F2-9DC5-C82B-0D43D66D2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0979" y="1165860"/>
          <a:ext cx="3266667" cy="3714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7620</xdr:colOff>
      <xdr:row>10</xdr:row>
      <xdr:rowOff>38100</xdr:rowOff>
    </xdr:from>
    <xdr:to>
      <xdr:col>18</xdr:col>
      <xdr:colOff>448670</xdr:colOff>
      <xdr:row>12</xdr:row>
      <xdr:rowOff>48209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FB6D947-DF43-696B-DA6F-98094A24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2049780"/>
          <a:ext cx="5317850" cy="37586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6</xdr:row>
      <xdr:rowOff>7620</xdr:rowOff>
    </xdr:from>
    <xdr:to>
      <xdr:col>8</xdr:col>
      <xdr:colOff>490654</xdr:colOff>
      <xdr:row>8</xdr:row>
      <xdr:rowOff>137160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8D628529-4070-4CCC-B69E-A7893814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7880" y="1104900"/>
          <a:ext cx="1328854" cy="4953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502919</xdr:colOff>
      <xdr:row>9</xdr:row>
      <xdr:rowOff>45720</xdr:rowOff>
    </xdr:from>
    <xdr:to>
      <xdr:col>9</xdr:col>
      <xdr:colOff>397548</xdr:colOff>
      <xdr:row>13</xdr:row>
      <xdr:rowOff>114300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8BA00B60-51A8-43ED-8F0B-18C8C7B34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499" y="1874520"/>
          <a:ext cx="1837729" cy="8001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9</xdr:col>
      <xdr:colOff>495299</xdr:colOff>
      <xdr:row>6</xdr:row>
      <xdr:rowOff>68580</xdr:rowOff>
    </xdr:from>
    <xdr:to>
      <xdr:col>15</xdr:col>
      <xdr:colOff>104366</xdr:colOff>
      <xdr:row>8</xdr:row>
      <xdr:rowOff>74249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4777E37-A290-48F3-AEA8-96940E3F8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0979" y="1165860"/>
          <a:ext cx="3266667" cy="3714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10</xdr:col>
      <xdr:colOff>7620</xdr:colOff>
      <xdr:row>10</xdr:row>
      <xdr:rowOff>38100</xdr:rowOff>
    </xdr:from>
    <xdr:to>
      <xdr:col>18</xdr:col>
      <xdr:colOff>448670</xdr:colOff>
      <xdr:row>12</xdr:row>
      <xdr:rowOff>48209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128030BA-0BDF-4FD9-9D1B-69521474C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2049780"/>
          <a:ext cx="5317850" cy="37586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0C5E-6B60-4119-ACD5-C29BC8232858}">
  <dimension ref="A1:H27"/>
  <sheetViews>
    <sheetView workbookViewId="0">
      <selection activeCell="D16" sqref="D16"/>
    </sheetView>
  </sheetViews>
  <sheetFormatPr defaultRowHeight="14.4"/>
  <cols>
    <col min="1" max="1" width="5" customWidth="1"/>
    <col min="2" max="2" width="12.88671875" customWidth="1"/>
    <col min="3" max="3" width="5" customWidth="1"/>
    <col min="4" max="4" width="12.88671875" customWidth="1"/>
    <col min="5" max="5" width="17.77734375" customWidth="1"/>
    <col min="6" max="6" width="12.77734375" bestFit="1" customWidth="1"/>
  </cols>
  <sheetData>
    <row r="1" spans="1:8">
      <c r="A1" t="s">
        <v>71</v>
      </c>
      <c r="B1" s="16" t="s">
        <v>18</v>
      </c>
      <c r="C1" s="16"/>
    </row>
    <row r="3" spans="1:8" ht="28.8" customHeight="1">
      <c r="A3" s="7" t="s">
        <v>0</v>
      </c>
      <c r="B3" s="8" t="s">
        <v>1</v>
      </c>
      <c r="C3" s="7" t="s">
        <v>0</v>
      </c>
      <c r="D3" s="8" t="s">
        <v>1</v>
      </c>
      <c r="E3" s="9" t="s">
        <v>5</v>
      </c>
      <c r="F3" s="10" t="s">
        <v>7</v>
      </c>
    </row>
    <row r="4" spans="1:8">
      <c r="A4" s="1">
        <v>1</v>
      </c>
      <c r="B4" s="3">
        <v>32.1</v>
      </c>
      <c r="C4" s="1">
        <v>7</v>
      </c>
      <c r="D4" s="3">
        <v>59.72</v>
      </c>
      <c r="E4" s="6">
        <f>(D4-B4)/6</f>
        <v>4.6033333333333326</v>
      </c>
      <c r="F4">
        <f>(E4-$E$10)^2</f>
        <v>2.7777777777786461E-6</v>
      </c>
    </row>
    <row r="5" spans="1:8">
      <c r="A5" s="1">
        <v>2</v>
      </c>
      <c r="B5" s="3">
        <v>36.78</v>
      </c>
      <c r="C5" s="1">
        <v>8</v>
      </c>
      <c r="D5" s="3">
        <v>64.319999999999993</v>
      </c>
      <c r="E5" s="6">
        <f t="shared" ref="E5:E9" si="0">(D5-B5)/6</f>
        <v>4.589999999999999</v>
      </c>
      <c r="F5">
        <f t="shared" ref="F5:F9" si="1">(E5-$E$10)^2</f>
        <v>2.2500000000001704E-4</v>
      </c>
    </row>
    <row r="6" spans="1:8">
      <c r="A6" s="1">
        <v>3</v>
      </c>
      <c r="B6" s="3">
        <v>41.3</v>
      </c>
      <c r="C6" s="1">
        <v>9</v>
      </c>
      <c r="D6" s="3">
        <v>69</v>
      </c>
      <c r="E6" s="6">
        <f t="shared" si="0"/>
        <v>4.6166666666666671</v>
      </c>
      <c r="F6">
        <f t="shared" si="1"/>
        <v>1.3611111111113295E-4</v>
      </c>
    </row>
    <row r="7" spans="1:8">
      <c r="A7" s="1">
        <v>4</v>
      </c>
      <c r="B7" s="3">
        <v>45.98</v>
      </c>
      <c r="C7" s="1">
        <v>10</v>
      </c>
      <c r="D7" s="3">
        <v>73.64</v>
      </c>
      <c r="E7" s="6">
        <f t="shared" si="0"/>
        <v>4.6100000000000003</v>
      </c>
      <c r="F7">
        <f t="shared" si="1"/>
        <v>2.5000000000007818E-5</v>
      </c>
    </row>
    <row r="8" spans="1:8">
      <c r="A8" s="1">
        <v>5</v>
      </c>
      <c r="B8" s="3">
        <v>50.48</v>
      </c>
      <c r="C8" s="1">
        <v>11</v>
      </c>
      <c r="D8" s="3">
        <v>78.180000000000007</v>
      </c>
      <c r="E8" s="6">
        <f t="shared" si="0"/>
        <v>4.616666666666668</v>
      </c>
      <c r="F8">
        <f t="shared" si="1"/>
        <v>1.3611111111115366E-4</v>
      </c>
    </row>
    <row r="9" spans="1:8">
      <c r="A9" s="1">
        <v>6</v>
      </c>
      <c r="B9" s="3">
        <v>55.2</v>
      </c>
      <c r="C9" s="1">
        <v>12</v>
      </c>
      <c r="D9" s="5">
        <v>82.76</v>
      </c>
      <c r="E9" s="6">
        <f t="shared" si="0"/>
        <v>4.5933333333333337</v>
      </c>
      <c r="F9">
        <f t="shared" si="1"/>
        <v>1.361111111110915E-4</v>
      </c>
    </row>
    <row r="10" spans="1:8">
      <c r="D10" s="11" t="s">
        <v>6</v>
      </c>
      <c r="E10" s="14">
        <f>AVERAGE(E4:E9)</f>
        <v>4.6049999999999995</v>
      </c>
    </row>
    <row r="12" spans="1:8">
      <c r="B12" s="12" t="s">
        <v>2</v>
      </c>
      <c r="C12" s="13"/>
      <c r="D12" s="4">
        <v>37697</v>
      </c>
    </row>
    <row r="13" spans="1:8">
      <c r="B13" s="12" t="s">
        <v>3</v>
      </c>
      <c r="C13" s="13"/>
      <c r="D13" s="4">
        <v>34762</v>
      </c>
      <c r="H13" s="15"/>
    </row>
    <row r="14" spans="1:8">
      <c r="B14" s="12" t="s">
        <v>4</v>
      </c>
      <c r="C14" s="13"/>
      <c r="D14" s="4">
        <v>17.7</v>
      </c>
      <c r="H14" s="15"/>
    </row>
    <row r="15" spans="1:8">
      <c r="H15" s="15"/>
    </row>
    <row r="16" spans="1:8">
      <c r="B16" s="19" t="s">
        <v>14</v>
      </c>
      <c r="C16" s="18"/>
      <c r="D16" s="18">
        <f>2*D12*E10/1000</f>
        <v>347.18936999999994</v>
      </c>
      <c r="E16" s="17" t="s">
        <v>66</v>
      </c>
    </row>
    <row r="17" spans="2:5">
      <c r="B17" s="19" t="s">
        <v>12</v>
      </c>
      <c r="C17" s="18"/>
      <c r="D17" s="18">
        <f>331.45*SQRT(1+D14/273.15)</f>
        <v>342.02035623454179</v>
      </c>
      <c r="E17" s="17" t="s">
        <v>66</v>
      </c>
    </row>
    <row r="18" spans="2:5">
      <c r="B18" s="19" t="s">
        <v>15</v>
      </c>
      <c r="C18" s="18"/>
      <c r="D18" s="64">
        <f>ABS(D16-D17)</f>
        <v>5.1690137654581463</v>
      </c>
      <c r="E18" s="17" t="s">
        <v>66</v>
      </c>
    </row>
    <row r="19" spans="2:5">
      <c r="B19" s="19" t="s">
        <v>16</v>
      </c>
      <c r="C19" s="18"/>
      <c r="D19" s="49">
        <f>ABS((D16-D17)/D17)</f>
        <v>1.5113175783939231E-2</v>
      </c>
      <c r="E19" s="17" t="s">
        <v>17</v>
      </c>
    </row>
    <row r="22" spans="2:5" ht="20.399999999999999">
      <c r="B22" s="30" t="s">
        <v>72</v>
      </c>
    </row>
    <row r="23" spans="2:5">
      <c r="B23" s="22" t="s">
        <v>25</v>
      </c>
    </row>
    <row r="26" spans="2:5">
      <c r="B26" s="21" t="s">
        <v>20</v>
      </c>
      <c r="C26" s="22" t="s">
        <v>21</v>
      </c>
    </row>
    <row r="27" spans="2:5">
      <c r="B27" s="23" t="s">
        <v>22</v>
      </c>
      <c r="C27" s="22" t="s">
        <v>70</v>
      </c>
    </row>
  </sheetData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8A5A-2235-44A0-ADF3-3159FBB46A04}">
  <dimension ref="A1:F19"/>
  <sheetViews>
    <sheetView workbookViewId="0">
      <selection activeCell="D19" sqref="D19"/>
    </sheetView>
  </sheetViews>
  <sheetFormatPr defaultRowHeight="14.4"/>
  <cols>
    <col min="1" max="1" width="5" customWidth="1"/>
    <col min="2" max="2" width="12.88671875" customWidth="1"/>
    <col min="3" max="3" width="5" customWidth="1"/>
    <col min="4" max="4" width="12.88671875" customWidth="1"/>
    <col min="5" max="5" width="17.77734375" customWidth="1"/>
    <col min="6" max="6" width="12.77734375" bestFit="1" customWidth="1"/>
  </cols>
  <sheetData>
    <row r="1" spans="1:6">
      <c r="A1" s="20" t="s">
        <v>19</v>
      </c>
      <c r="B1" s="20"/>
      <c r="C1" s="20"/>
    </row>
    <row r="3" spans="1:6" ht="28.8" customHeight="1">
      <c r="A3" s="7" t="s">
        <v>0</v>
      </c>
      <c r="B3" s="8" t="s">
        <v>27</v>
      </c>
      <c r="C3" s="7" t="s">
        <v>0</v>
      </c>
      <c r="D3" s="8" t="s">
        <v>27</v>
      </c>
      <c r="E3" s="9" t="s">
        <v>5</v>
      </c>
      <c r="F3" s="10" t="s">
        <v>7</v>
      </c>
    </row>
    <row r="4" spans="1:6">
      <c r="A4" s="1">
        <v>1</v>
      </c>
      <c r="B4" s="3">
        <v>39.22</v>
      </c>
      <c r="C4" s="1">
        <v>7</v>
      </c>
      <c r="D4" s="3">
        <v>179.5</v>
      </c>
      <c r="E4" s="6">
        <f>(D4-B4)/6</f>
        <v>23.38</v>
      </c>
      <c r="F4">
        <f>(E4-$E$10)^2</f>
        <v>1.587599999999995</v>
      </c>
    </row>
    <row r="5" spans="1:6">
      <c r="A5" s="1">
        <v>2</v>
      </c>
      <c r="B5" s="3">
        <v>65</v>
      </c>
      <c r="C5" s="1">
        <v>8</v>
      </c>
      <c r="D5" s="3">
        <v>201.72</v>
      </c>
      <c r="E5" s="6">
        <f t="shared" ref="E5:E9" si="0">(D5-B5)/6</f>
        <v>22.786666666666665</v>
      </c>
      <c r="F5">
        <f t="shared" ref="F5:F9" si="1">(E5-$E$10)^2</f>
        <v>0.44444444444444131</v>
      </c>
    </row>
    <row r="6" spans="1:6">
      <c r="A6" s="1">
        <v>3</v>
      </c>
      <c r="B6" s="3">
        <v>88.64</v>
      </c>
      <c r="C6" s="1">
        <v>9</v>
      </c>
      <c r="D6" s="3">
        <v>219.38</v>
      </c>
      <c r="E6" s="6">
        <f t="shared" si="0"/>
        <v>21.790000000000003</v>
      </c>
      <c r="F6">
        <f t="shared" si="1"/>
        <v>0.10889999999999887</v>
      </c>
    </row>
    <row r="7" spans="1:6">
      <c r="A7" s="1">
        <v>4</v>
      </c>
      <c r="B7" s="3">
        <v>110.8</v>
      </c>
      <c r="C7" s="1">
        <v>10</v>
      </c>
      <c r="D7" s="3">
        <v>239.72</v>
      </c>
      <c r="E7" s="6">
        <f t="shared" si="0"/>
        <v>21.486666666666668</v>
      </c>
      <c r="F7">
        <f t="shared" si="1"/>
        <v>0.40111111111111053</v>
      </c>
    </row>
    <row r="8" spans="1:6">
      <c r="A8" s="1">
        <v>5</v>
      </c>
      <c r="B8" s="3">
        <v>135.6</v>
      </c>
      <c r="C8" s="1">
        <v>11</v>
      </c>
      <c r="D8" s="3">
        <v>264.98</v>
      </c>
      <c r="E8" s="6">
        <f t="shared" si="0"/>
        <v>21.563333333333336</v>
      </c>
      <c r="F8">
        <f t="shared" si="1"/>
        <v>0.30987777777777575</v>
      </c>
    </row>
    <row r="9" spans="1:6">
      <c r="A9" s="1">
        <v>6</v>
      </c>
      <c r="B9" s="3">
        <v>157.46</v>
      </c>
      <c r="C9" s="1">
        <v>12</v>
      </c>
      <c r="D9" s="5">
        <v>287.74</v>
      </c>
      <c r="E9" s="6">
        <f t="shared" si="0"/>
        <v>21.713333333333335</v>
      </c>
      <c r="F9">
        <f t="shared" si="1"/>
        <v>0.16537777777777746</v>
      </c>
    </row>
    <row r="10" spans="1:6">
      <c r="D10" s="11" t="s">
        <v>6</v>
      </c>
      <c r="E10" s="14">
        <f>AVERAGE(E4:E9)</f>
        <v>22.12</v>
      </c>
    </row>
    <row r="12" spans="1:6" ht="14.4" customHeight="1">
      <c r="B12" s="12"/>
      <c r="C12" s="31" t="s">
        <v>3</v>
      </c>
      <c r="D12" s="1">
        <f>Sheet1!D13</f>
        <v>34762</v>
      </c>
      <c r="E12" s="58" t="s">
        <v>64</v>
      </c>
    </row>
    <row r="14" spans="1:6">
      <c r="B14" s="19"/>
      <c r="C14" s="32" t="s">
        <v>14</v>
      </c>
      <c r="D14" s="50">
        <f>2*D12*E10/1000</f>
        <v>1537.8708800000002</v>
      </c>
      <c r="E14" s="17" t="s">
        <v>56</v>
      </c>
    </row>
    <row r="16" spans="1:6">
      <c r="B16" s="27"/>
      <c r="C16" s="25" t="s">
        <v>6</v>
      </c>
      <c r="D16" s="14">
        <f>AVERAGE(E4:E9)</f>
        <v>22.12</v>
      </c>
      <c r="E16" s="26" t="s">
        <v>9</v>
      </c>
    </row>
    <row r="17" spans="2:5">
      <c r="B17" s="24"/>
      <c r="C17" s="25" t="s">
        <v>8</v>
      </c>
      <c r="D17" s="26">
        <f>SQRT(SUM(F4:F9)/6*5)</f>
        <v>1.5856941463995873</v>
      </c>
      <c r="E17" s="26" t="s">
        <v>67</v>
      </c>
    </row>
    <row r="18" spans="2:5">
      <c r="B18" s="24"/>
      <c r="C18" s="25" t="s">
        <v>10</v>
      </c>
      <c r="D18" s="26">
        <v>2.57</v>
      </c>
      <c r="E18" s="26" t="s">
        <v>11</v>
      </c>
    </row>
    <row r="19" spans="2:5">
      <c r="B19" s="24"/>
      <c r="C19" s="25" t="s">
        <v>23</v>
      </c>
      <c r="D19" s="26">
        <f>D17*D18</f>
        <v>4.0752339562469393</v>
      </c>
      <c r="E19" s="26" t="s">
        <v>24</v>
      </c>
    </row>
  </sheetData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7671-C412-4B39-B431-011DEDBBF3C2}">
  <dimension ref="A1:J12"/>
  <sheetViews>
    <sheetView workbookViewId="0">
      <selection activeCell="I10" sqref="I10"/>
    </sheetView>
  </sheetViews>
  <sheetFormatPr defaultRowHeight="14.4"/>
  <cols>
    <col min="1" max="1" width="5" customWidth="1"/>
    <col min="2" max="2" width="12.88671875" customWidth="1"/>
    <col min="3" max="3" width="5" customWidth="1"/>
    <col min="4" max="4" width="12.88671875" customWidth="1"/>
    <col min="5" max="5" width="17.77734375" customWidth="1"/>
    <col min="6" max="6" width="5.109375" customWidth="1"/>
    <col min="7" max="7" width="3.5546875" bestFit="1" customWidth="1"/>
    <col min="8" max="8" width="2.5546875" bestFit="1" customWidth="1"/>
  </cols>
  <sheetData>
    <row r="1" spans="1:10">
      <c r="A1" s="33" t="s">
        <v>26</v>
      </c>
      <c r="B1" s="33"/>
      <c r="C1" s="33"/>
      <c r="E1" s="24" t="s">
        <v>33</v>
      </c>
      <c r="F1" s="24">
        <v>20</v>
      </c>
      <c r="G1" s="28" t="s">
        <v>9</v>
      </c>
      <c r="H1" s="2" t="s">
        <v>29</v>
      </c>
      <c r="I1" s="12">
        <f>F1/1000</f>
        <v>0.02</v>
      </c>
      <c r="J1" s="13" t="s">
        <v>30</v>
      </c>
    </row>
    <row r="3" spans="1:10" ht="28.8" customHeight="1">
      <c r="A3" s="7" t="s">
        <v>0</v>
      </c>
      <c r="B3" s="8" t="s">
        <v>28</v>
      </c>
      <c r="C3" s="7" t="s">
        <v>0</v>
      </c>
      <c r="D3" s="8" t="s">
        <v>28</v>
      </c>
      <c r="E3" s="8" t="s">
        <v>68</v>
      </c>
      <c r="F3" s="10"/>
    </row>
    <row r="4" spans="1:10">
      <c r="A4" s="1">
        <v>1</v>
      </c>
      <c r="B4" s="34">
        <v>43</v>
      </c>
      <c r="C4" s="1">
        <v>7</v>
      </c>
      <c r="D4" s="34">
        <v>121</v>
      </c>
      <c r="E4" s="6">
        <f>(D4-B4)/6</f>
        <v>13</v>
      </c>
    </row>
    <row r="5" spans="1:10">
      <c r="A5" s="1">
        <v>2</v>
      </c>
      <c r="B5" s="34">
        <v>57</v>
      </c>
      <c r="C5" s="1">
        <v>8</v>
      </c>
      <c r="D5" s="34">
        <v>134</v>
      </c>
      <c r="E5" s="6">
        <f t="shared" ref="E5:E9" si="0">(D5-B5)/6</f>
        <v>12.833333333333334</v>
      </c>
    </row>
    <row r="6" spans="1:10">
      <c r="A6" s="1">
        <v>3</v>
      </c>
      <c r="B6" s="34">
        <v>68</v>
      </c>
      <c r="C6" s="1">
        <v>9</v>
      </c>
      <c r="D6" s="34">
        <v>146</v>
      </c>
      <c r="E6" s="6">
        <f t="shared" si="0"/>
        <v>13</v>
      </c>
    </row>
    <row r="7" spans="1:10">
      <c r="A7" s="1">
        <v>4</v>
      </c>
      <c r="B7" s="34">
        <v>81</v>
      </c>
      <c r="C7" s="1">
        <v>10</v>
      </c>
      <c r="D7" s="34">
        <v>158</v>
      </c>
      <c r="E7" s="6">
        <f t="shared" si="0"/>
        <v>12.833333333333334</v>
      </c>
    </row>
    <row r="8" spans="1:10">
      <c r="A8" s="1">
        <v>5</v>
      </c>
      <c r="B8" s="34">
        <v>94</v>
      </c>
      <c r="C8" s="1">
        <v>11</v>
      </c>
      <c r="D8" s="34">
        <v>171</v>
      </c>
      <c r="E8" s="6">
        <f t="shared" si="0"/>
        <v>12.833333333333334</v>
      </c>
    </row>
    <row r="9" spans="1:10">
      <c r="A9" s="1">
        <v>6</v>
      </c>
      <c r="B9" s="34">
        <v>108</v>
      </c>
      <c r="C9" s="1">
        <v>12</v>
      </c>
      <c r="D9" s="34">
        <v>185</v>
      </c>
      <c r="E9" s="35">
        <f t="shared" si="0"/>
        <v>12.833333333333334</v>
      </c>
    </row>
    <row r="10" spans="1:10">
      <c r="D10" s="37" t="s">
        <v>34</v>
      </c>
      <c r="E10" s="14">
        <f>AVERAGE(E4:E9)</f>
        <v>12.888888888888888</v>
      </c>
      <c r="F10" s="24"/>
      <c r="G10" s="36" t="s">
        <v>31</v>
      </c>
      <c r="H10" t="s">
        <v>29</v>
      </c>
      <c r="I10">
        <f>E10/1000/1000</f>
        <v>1.2888888888888887E-5</v>
      </c>
      <c r="J10" t="s">
        <v>32</v>
      </c>
    </row>
    <row r="12" spans="1:10" ht="14.4" customHeight="1">
      <c r="B12" s="19"/>
      <c r="C12" s="32" t="s">
        <v>14</v>
      </c>
      <c r="D12" s="50">
        <f>I1/I10</f>
        <v>1551.7241379310346</v>
      </c>
      <c r="E12" s="17" t="s">
        <v>56</v>
      </c>
    </row>
  </sheetData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2B62-5095-448C-B383-D08B0327A3BE}">
  <dimension ref="A1:H26"/>
  <sheetViews>
    <sheetView workbookViewId="0"/>
  </sheetViews>
  <sheetFormatPr defaultRowHeight="14.4"/>
  <cols>
    <col min="1" max="1" width="22.6640625" bestFit="1" customWidth="1"/>
    <col min="2" max="4" width="12.77734375" bestFit="1" customWidth="1"/>
    <col min="7" max="7" width="10.5546875" bestFit="1" customWidth="1"/>
  </cols>
  <sheetData>
    <row r="1" spans="1:8">
      <c r="A1" s="38" t="s">
        <v>35</v>
      </c>
    </row>
    <row r="3" spans="1:8">
      <c r="A3" s="41" t="s">
        <v>36</v>
      </c>
      <c r="B3" s="39">
        <v>0.5</v>
      </c>
      <c r="C3" s="39" t="s">
        <v>37</v>
      </c>
      <c r="D3" s="39"/>
      <c r="F3" t="s">
        <v>46</v>
      </c>
      <c r="G3" s="60">
        <f>150*10^6</f>
        <v>150000000</v>
      </c>
      <c r="H3" t="s">
        <v>47</v>
      </c>
    </row>
    <row r="4" spans="1:8">
      <c r="A4" s="1" t="s">
        <v>0</v>
      </c>
      <c r="B4" s="2">
        <v>1</v>
      </c>
      <c r="C4" s="2">
        <v>2</v>
      </c>
      <c r="D4" s="2">
        <v>3</v>
      </c>
    </row>
    <row r="5" spans="1:8">
      <c r="A5" s="1" t="s">
        <v>38</v>
      </c>
      <c r="B5" s="42">
        <v>4.5</v>
      </c>
      <c r="C5" s="42">
        <v>4.5</v>
      </c>
      <c r="D5" s="42">
        <v>4.4000000000000004</v>
      </c>
    </row>
    <row r="6" spans="1:8">
      <c r="A6" s="1" t="s">
        <v>39</v>
      </c>
      <c r="B6" s="6">
        <f>B5*$B$3</f>
        <v>2.25</v>
      </c>
      <c r="C6" s="6">
        <f t="shared" ref="C6:D6" si="0">C5*$B$3</f>
        <v>2.25</v>
      </c>
      <c r="D6" s="6">
        <f t="shared" si="0"/>
        <v>2.2000000000000002</v>
      </c>
      <c r="E6" t="s">
        <v>57</v>
      </c>
    </row>
    <row r="7" spans="1:8">
      <c r="A7" s="1" t="s">
        <v>59</v>
      </c>
      <c r="B7" s="54">
        <f>1/(B6/1000/1000)/1000</f>
        <v>444.44444444444451</v>
      </c>
      <c r="C7" s="54">
        <f t="shared" ref="C7:D7" si="1">1/(C6/1000/1000)/1000</f>
        <v>444.44444444444451</v>
      </c>
      <c r="D7" s="54">
        <f t="shared" si="1"/>
        <v>454.5454545454545</v>
      </c>
      <c r="E7" t="s">
        <v>60</v>
      </c>
    </row>
    <row r="8" spans="1:8">
      <c r="A8" s="44" t="s">
        <v>48</v>
      </c>
      <c r="B8" s="26">
        <f>AVERAGE(B6:D6)/(10^6)</f>
        <v>2.2333333333333333E-6</v>
      </c>
      <c r="C8" t="s">
        <v>57</v>
      </c>
    </row>
    <row r="12" spans="1:8">
      <c r="A12" s="41" t="s">
        <v>36</v>
      </c>
      <c r="B12" s="39">
        <v>0.2</v>
      </c>
      <c r="C12" s="39" t="s">
        <v>37</v>
      </c>
      <c r="D12" s="39"/>
    </row>
    <row r="13" spans="1:8">
      <c r="A13" s="1" t="s">
        <v>0</v>
      </c>
      <c r="B13" s="2">
        <v>1</v>
      </c>
      <c r="C13" s="2">
        <v>2</v>
      </c>
      <c r="D13" s="2">
        <v>3</v>
      </c>
    </row>
    <row r="14" spans="1:8">
      <c r="A14" s="1" t="s">
        <v>40</v>
      </c>
      <c r="B14" s="4">
        <v>3</v>
      </c>
      <c r="C14" s="4">
        <v>4</v>
      </c>
      <c r="D14" s="4">
        <v>5</v>
      </c>
    </row>
    <row r="15" spans="1:8">
      <c r="A15" s="1" t="s">
        <v>41</v>
      </c>
      <c r="B15" s="40">
        <f>$B$12*B14</f>
        <v>0.60000000000000009</v>
      </c>
      <c r="C15" s="40">
        <f>$B$12*C14</f>
        <v>0.8</v>
      </c>
      <c r="D15" s="40">
        <f>$B$12*D14</f>
        <v>1</v>
      </c>
    </row>
    <row r="16" spans="1:8">
      <c r="A16" s="1" t="s">
        <v>42</v>
      </c>
      <c r="B16" s="42">
        <v>100</v>
      </c>
      <c r="C16" s="42">
        <v>40</v>
      </c>
      <c r="D16" s="42">
        <v>30</v>
      </c>
    </row>
    <row r="17" spans="1:6">
      <c r="A17" s="1" t="s">
        <v>43</v>
      </c>
      <c r="B17" s="42">
        <v>360</v>
      </c>
      <c r="C17" s="42">
        <v>380</v>
      </c>
      <c r="D17" s="42">
        <v>468.2</v>
      </c>
    </row>
    <row r="18" spans="1:6">
      <c r="A18" s="1" t="s">
        <v>44</v>
      </c>
      <c r="B18" s="40">
        <f>B17-B16</f>
        <v>260</v>
      </c>
      <c r="C18" s="40">
        <f t="shared" ref="C18:D18" si="2">C17-C16</f>
        <v>340</v>
      </c>
      <c r="D18" s="40">
        <f t="shared" si="2"/>
        <v>438.2</v>
      </c>
    </row>
    <row r="19" spans="1:6">
      <c r="A19" s="43" t="s">
        <v>45</v>
      </c>
      <c r="B19" s="40">
        <f>B18/B15</f>
        <v>433.33333333333326</v>
      </c>
      <c r="C19" s="40">
        <f t="shared" ref="C19:D19" si="3">C18/C15</f>
        <v>425</v>
      </c>
      <c r="D19" s="40">
        <f t="shared" si="3"/>
        <v>438.2</v>
      </c>
    </row>
    <row r="21" spans="1:6">
      <c r="A21" s="29" t="s">
        <v>53</v>
      </c>
      <c r="B21" s="46">
        <f>AVERAGE(B19:D19)</f>
        <v>432.17777777777775</v>
      </c>
      <c r="C21" s="47" t="s">
        <v>54</v>
      </c>
      <c r="D21" s="59">
        <f>B21*1000</f>
        <v>432177.77777777775</v>
      </c>
      <c r="E21" s="28" t="s">
        <v>49</v>
      </c>
      <c r="F21" t="s">
        <v>55</v>
      </c>
    </row>
    <row r="22" spans="1:6">
      <c r="A22" s="29" t="s">
        <v>52</v>
      </c>
      <c r="B22" s="61">
        <f>D21*2*B8</f>
        <v>1.9303940740740739</v>
      </c>
      <c r="C22" s="28" t="s">
        <v>30</v>
      </c>
    </row>
    <row r="23" spans="1:6">
      <c r="A23" s="29" t="s">
        <v>50</v>
      </c>
      <c r="B23" s="48">
        <f>G3*B22</f>
        <v>289559111.1111111</v>
      </c>
      <c r="C23" s="28" t="s">
        <v>13</v>
      </c>
      <c r="D23" t="s">
        <v>55</v>
      </c>
    </row>
    <row r="24" spans="1:6">
      <c r="A24" s="45" t="s">
        <v>51</v>
      </c>
      <c r="B24" s="48">
        <f>2.998*10^8</f>
        <v>299800000</v>
      </c>
      <c r="C24" s="28" t="s">
        <v>13</v>
      </c>
    </row>
    <row r="25" spans="1:6">
      <c r="A25" s="19" t="s">
        <v>69</v>
      </c>
      <c r="B25" s="63">
        <f>ABS(B23-B24)</f>
        <v>10240888.888888896</v>
      </c>
      <c r="C25" s="17" t="s">
        <v>13</v>
      </c>
      <c r="D25" t="s">
        <v>73</v>
      </c>
    </row>
    <row r="26" spans="1:6">
      <c r="A26" s="19" t="s">
        <v>16</v>
      </c>
      <c r="B26" s="57">
        <f>ABS((B23-B24)/B24)</f>
        <v>3.4159069008968965E-2</v>
      </c>
      <c r="C26" s="17" t="s">
        <v>17</v>
      </c>
    </row>
  </sheetData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C910-C7D6-4F2E-8A54-BBAF17747C4A}">
  <dimension ref="A1:H26"/>
  <sheetViews>
    <sheetView workbookViewId="0"/>
  </sheetViews>
  <sheetFormatPr defaultRowHeight="14.4"/>
  <cols>
    <col min="1" max="1" width="22.6640625" bestFit="1" customWidth="1"/>
    <col min="2" max="4" width="12.77734375" bestFit="1" customWidth="1"/>
    <col min="7" max="7" width="10.5546875" bestFit="1" customWidth="1"/>
  </cols>
  <sheetData>
    <row r="1" spans="1:8">
      <c r="A1" s="52" t="s">
        <v>65</v>
      </c>
    </row>
    <row r="3" spans="1:8">
      <c r="A3" s="41" t="s">
        <v>36</v>
      </c>
      <c r="B3" s="39">
        <v>0.5</v>
      </c>
      <c r="C3" s="39" t="s">
        <v>37</v>
      </c>
      <c r="D3" s="39"/>
      <c r="F3" t="s">
        <v>46</v>
      </c>
      <c r="G3" s="60">
        <f>150*10^6</f>
        <v>150000000</v>
      </c>
      <c r="H3" t="s">
        <v>47</v>
      </c>
    </row>
    <row r="4" spans="1:8">
      <c r="A4" s="1" t="s">
        <v>0</v>
      </c>
      <c r="B4" s="2">
        <v>1</v>
      </c>
      <c r="C4" s="2">
        <v>2</v>
      </c>
      <c r="D4" s="2">
        <v>3</v>
      </c>
    </row>
    <row r="5" spans="1:8">
      <c r="A5" s="1" t="s">
        <v>38</v>
      </c>
      <c r="B5" s="42">
        <v>4.2</v>
      </c>
      <c r="C5" s="42">
        <v>4.4000000000000004</v>
      </c>
      <c r="D5" s="42">
        <v>4.5</v>
      </c>
    </row>
    <row r="6" spans="1:8">
      <c r="A6" s="1" t="s">
        <v>39</v>
      </c>
      <c r="B6" s="6">
        <f>B5*$B$3</f>
        <v>2.1</v>
      </c>
      <c r="C6" s="6">
        <f t="shared" ref="C6:D6" si="0">C5*$B$3</f>
        <v>2.2000000000000002</v>
      </c>
      <c r="D6" s="6">
        <f t="shared" si="0"/>
        <v>2.25</v>
      </c>
      <c r="E6" t="s">
        <v>57</v>
      </c>
    </row>
    <row r="7" spans="1:8">
      <c r="A7" s="1" t="s">
        <v>59</v>
      </c>
      <c r="B7" s="54">
        <f>1/(B6/1000/1000)/1000</f>
        <v>476.19047619047615</v>
      </c>
      <c r="C7" s="54">
        <f t="shared" ref="C7:D7" si="1">1/(C6/1000/1000)/1000</f>
        <v>454.5454545454545</v>
      </c>
      <c r="D7" s="54">
        <f t="shared" si="1"/>
        <v>444.44444444444451</v>
      </c>
      <c r="E7" t="s">
        <v>60</v>
      </c>
    </row>
    <row r="8" spans="1:8">
      <c r="A8" s="44" t="s">
        <v>48</v>
      </c>
      <c r="B8" s="26">
        <f>AVERAGE(B6:D6)/(10^6)</f>
        <v>2.1833333333333337E-6</v>
      </c>
      <c r="C8" t="s">
        <v>57</v>
      </c>
    </row>
    <row r="12" spans="1:8">
      <c r="A12" s="41" t="s">
        <v>36</v>
      </c>
      <c r="B12" s="39">
        <v>0.2</v>
      </c>
      <c r="C12" s="39" t="s">
        <v>37</v>
      </c>
      <c r="D12" s="39"/>
    </row>
    <row r="13" spans="1:8">
      <c r="A13" s="1" t="s">
        <v>0</v>
      </c>
      <c r="B13" s="2">
        <v>1</v>
      </c>
      <c r="C13" s="2">
        <v>2</v>
      </c>
      <c r="D13" s="2">
        <v>3</v>
      </c>
    </row>
    <row r="14" spans="1:8">
      <c r="A14" s="1" t="s">
        <v>40</v>
      </c>
      <c r="B14" s="4">
        <v>5</v>
      </c>
      <c r="C14" s="4">
        <v>3</v>
      </c>
      <c r="D14" s="4">
        <v>4</v>
      </c>
    </row>
    <row r="15" spans="1:8">
      <c r="A15" s="1" t="s">
        <v>41</v>
      </c>
      <c r="B15" s="40">
        <f>$B$12*B14</f>
        <v>1</v>
      </c>
      <c r="C15" s="40">
        <f>$B$12*C14</f>
        <v>0.60000000000000009</v>
      </c>
      <c r="D15" s="40">
        <f>$B$12*D14</f>
        <v>0.8</v>
      </c>
    </row>
    <row r="16" spans="1:8">
      <c r="A16" s="1" t="s">
        <v>42</v>
      </c>
      <c r="B16" s="42">
        <v>30</v>
      </c>
      <c r="C16" s="42">
        <v>100</v>
      </c>
      <c r="D16" s="42">
        <v>50</v>
      </c>
    </row>
    <row r="17" spans="1:6">
      <c r="A17" s="1" t="s">
        <v>43</v>
      </c>
      <c r="B17" s="42">
        <v>459.1</v>
      </c>
      <c r="C17" s="42">
        <v>363.4</v>
      </c>
      <c r="D17" s="42">
        <v>389.7</v>
      </c>
    </row>
    <row r="18" spans="1:6">
      <c r="A18" s="1" t="s">
        <v>44</v>
      </c>
      <c r="B18" s="40">
        <f>B17-B16</f>
        <v>429.1</v>
      </c>
      <c r="C18" s="40">
        <f t="shared" ref="C18:D18" si="2">C17-C16</f>
        <v>263.39999999999998</v>
      </c>
      <c r="D18" s="40">
        <f t="shared" si="2"/>
        <v>339.7</v>
      </c>
    </row>
    <row r="19" spans="1:6">
      <c r="A19" s="43" t="s">
        <v>45</v>
      </c>
      <c r="B19" s="40">
        <f>B18/B15</f>
        <v>429.1</v>
      </c>
      <c r="C19" s="40">
        <f t="shared" ref="C19:D19" si="3">C18/C15</f>
        <v>438.99999999999989</v>
      </c>
      <c r="D19" s="40">
        <f t="shared" si="3"/>
        <v>424.62499999999994</v>
      </c>
    </row>
    <row r="21" spans="1:6">
      <c r="A21" s="29" t="s">
        <v>53</v>
      </c>
      <c r="B21" s="46">
        <f>AVERAGE(B19:D19)</f>
        <v>430.9083333333333</v>
      </c>
      <c r="C21" s="47" t="s">
        <v>54</v>
      </c>
      <c r="D21" s="59">
        <f>B21*1000</f>
        <v>430908.33333333331</v>
      </c>
      <c r="E21" s="28" t="s">
        <v>49</v>
      </c>
      <c r="F21" t="s">
        <v>55</v>
      </c>
    </row>
    <row r="22" spans="1:6">
      <c r="A22" s="29" t="s">
        <v>52</v>
      </c>
      <c r="B22" s="61">
        <f>D21*2*B8</f>
        <v>1.8816330555555558</v>
      </c>
      <c r="C22" s="28" t="s">
        <v>30</v>
      </c>
    </row>
    <row r="23" spans="1:6">
      <c r="A23" s="29" t="s">
        <v>50</v>
      </c>
      <c r="B23" s="48">
        <f>G3*B22</f>
        <v>282244958.33333337</v>
      </c>
      <c r="C23" s="28" t="s">
        <v>13</v>
      </c>
      <c r="D23" t="s">
        <v>55</v>
      </c>
    </row>
    <row r="24" spans="1:6">
      <c r="A24" s="45" t="s">
        <v>51</v>
      </c>
      <c r="B24" s="48">
        <f>2.998*10^8</f>
        <v>299800000</v>
      </c>
      <c r="C24" s="28" t="s">
        <v>13</v>
      </c>
    </row>
    <row r="25" spans="1:6">
      <c r="A25" s="19" t="s">
        <v>15</v>
      </c>
      <c r="B25" s="63">
        <f>ABS(B23-B24)</f>
        <v>17555041.666666627</v>
      </c>
      <c r="C25" s="17" t="s">
        <v>13</v>
      </c>
      <c r="D25" t="s">
        <v>73</v>
      </c>
    </row>
    <row r="26" spans="1:6">
      <c r="A26" s="19" t="s">
        <v>16</v>
      </c>
      <c r="B26" s="57">
        <f>ABS((B23-B24)/B24)</f>
        <v>5.855584278407814E-2</v>
      </c>
      <c r="C26" s="17" t="s">
        <v>17</v>
      </c>
    </row>
  </sheetData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6D3D-64E2-49DB-B5C3-6D75592DDC4D}">
  <dimension ref="A1:I15"/>
  <sheetViews>
    <sheetView tabSelected="1" workbookViewId="0">
      <selection activeCell="B19" sqref="B19"/>
    </sheetView>
  </sheetViews>
  <sheetFormatPr defaultRowHeight="14.4"/>
  <cols>
    <col min="1" max="1" width="24.5546875" customWidth="1"/>
    <col min="2" max="2" width="10.5546875" bestFit="1" customWidth="1"/>
    <col min="7" max="7" width="10.5546875" bestFit="1" customWidth="1"/>
  </cols>
  <sheetData>
    <row r="1" spans="1:9">
      <c r="A1" s="53" t="s">
        <v>58</v>
      </c>
    </row>
    <row r="3" spans="1:9">
      <c r="A3" s="1" t="s">
        <v>0</v>
      </c>
      <c r="B3" s="2">
        <v>1</v>
      </c>
      <c r="C3" s="2">
        <v>2</v>
      </c>
      <c r="D3" s="2">
        <v>3</v>
      </c>
      <c r="F3" t="s">
        <v>46</v>
      </c>
      <c r="G3" s="60">
        <f>150*10^6</f>
        <v>150000000</v>
      </c>
      <c r="H3" t="s">
        <v>47</v>
      </c>
    </row>
    <row r="4" spans="1:9">
      <c r="A4" s="1" t="s">
        <v>42</v>
      </c>
      <c r="B4" s="4">
        <v>71.2</v>
      </c>
      <c r="C4" s="4">
        <v>75.3</v>
      </c>
      <c r="D4" s="4">
        <v>69.3</v>
      </c>
    </row>
    <row r="5" spans="1:9">
      <c r="A5" s="1" t="s">
        <v>43</v>
      </c>
      <c r="B5" s="4">
        <v>553.1</v>
      </c>
      <c r="C5" s="4">
        <v>561.9</v>
      </c>
      <c r="D5" s="4">
        <v>555.79999999999995</v>
      </c>
    </row>
    <row r="6" spans="1:9">
      <c r="A6" s="1" t="s">
        <v>61</v>
      </c>
      <c r="B6" s="1">
        <f>B5-B4</f>
        <v>481.90000000000003</v>
      </c>
      <c r="C6" s="1">
        <f t="shared" ref="C6:D6" si="0">C5-C4</f>
        <v>486.59999999999997</v>
      </c>
      <c r="D6" s="1">
        <f t="shared" si="0"/>
        <v>486.49999999999994</v>
      </c>
    </row>
    <row r="7" spans="1:9">
      <c r="A7" s="45" t="s">
        <v>62</v>
      </c>
      <c r="B7" s="51">
        <f>AVERAGE(B6:D6)</f>
        <v>485</v>
      </c>
    </row>
    <row r="11" spans="1:9">
      <c r="A11" s="55" t="s">
        <v>63</v>
      </c>
      <c r="B11" s="56">
        <f>4*B7/1000</f>
        <v>1.94</v>
      </c>
      <c r="C11" s="26" t="s">
        <v>30</v>
      </c>
      <c r="D11" t="s">
        <v>55</v>
      </c>
    </row>
    <row r="12" spans="1:9">
      <c r="A12" s="29" t="s">
        <v>50</v>
      </c>
      <c r="B12" s="48">
        <f>B11*G3</f>
        <v>291000000</v>
      </c>
      <c r="C12" s="28" t="s">
        <v>13</v>
      </c>
      <c r="D12" t="s">
        <v>55</v>
      </c>
    </row>
    <row r="13" spans="1:9">
      <c r="A13" s="45" t="s">
        <v>51</v>
      </c>
      <c r="B13" s="48">
        <f>2.998*10^8</f>
        <v>299800000</v>
      </c>
      <c r="C13" s="28" t="s">
        <v>13</v>
      </c>
    </row>
    <row r="14" spans="1:9">
      <c r="A14" s="19" t="s">
        <v>15</v>
      </c>
      <c r="B14" s="62">
        <f>ABS(B12-B13)</f>
        <v>8800000</v>
      </c>
      <c r="C14" s="17" t="s">
        <v>13</v>
      </c>
      <c r="D14" t="s">
        <v>73</v>
      </c>
      <c r="I14" t="s">
        <v>74</v>
      </c>
    </row>
    <row r="15" spans="1:9">
      <c r="A15" s="19" t="s">
        <v>16</v>
      </c>
      <c r="B15" s="57">
        <f>ABS((B12-B13)/B13)</f>
        <v>2.9352901934623081E-2</v>
      </c>
      <c r="C15" s="17" t="s">
        <v>17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Administrator momooo</cp:lastModifiedBy>
  <cp:lastPrinted>2025-12-15T21:56:21Z</cp:lastPrinted>
  <dcterms:created xsi:type="dcterms:W3CDTF">2025-12-15T16:10:16Z</dcterms:created>
  <dcterms:modified xsi:type="dcterms:W3CDTF">2025-12-19T14:04:28Z</dcterms:modified>
</cp:coreProperties>
</file>