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新文件\3. 大二上\1. 学习资料\7. 物理实验\6. 多功能太阳能电池特性\数据处理\"/>
    </mc:Choice>
  </mc:AlternateContent>
  <xr:revisionPtr revIDLastSave="0" documentId="13_ncr:1_{4C3D99C1-993F-4C43-BC37-2E587A67969C}" xr6:coauthVersionLast="47" xr6:coauthVersionMax="47" xr10:uidLastSave="{00000000-0000-0000-0000-000000000000}"/>
  <bookViews>
    <workbookView xWindow="-108" yWindow="-108" windowWidth="23256" windowHeight="13896" xr2:uid="{DFF68E14-B96F-4621-BC68-20FB455252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5" i="2"/>
  <c r="D6" i="2"/>
  <c r="D7" i="2"/>
  <c r="D8" i="2"/>
  <c r="D9" i="2"/>
  <c r="D10" i="2"/>
  <c r="D5" i="2"/>
  <c r="C22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4" i="1"/>
</calcChain>
</file>

<file path=xl/sharedStrings.xml><?xml version="1.0" encoding="utf-8"?>
<sst xmlns="http://schemas.openxmlformats.org/spreadsheetml/2006/main" count="17" uniqueCount="11">
  <si>
    <t>v0</t>
    <phoneticPr fontId="1" type="noConversion"/>
  </si>
  <si>
    <t>太阳能电池输出伏安特性</t>
    <phoneticPr fontId="1" type="noConversion"/>
  </si>
  <si>
    <t>竖着填</t>
    <phoneticPr fontId="1" type="noConversion"/>
  </si>
  <si>
    <t>电压/V</t>
    <phoneticPr fontId="1" type="noConversion"/>
  </si>
  <si>
    <t>电流/mA</t>
    <phoneticPr fontId="1" type="noConversion"/>
  </si>
  <si>
    <t>功率/mW</t>
    <phoneticPr fontId="1" type="noConversion"/>
  </si>
  <si>
    <t>最大输出功率(mW)</t>
    <phoneticPr fontId="1" type="noConversion"/>
  </si>
  <si>
    <t>两种充电情况下超级电容的充电特性</t>
    <phoneticPr fontId="1" type="noConversion"/>
  </si>
  <si>
    <t>直接充电</t>
    <phoneticPr fontId="1" type="noConversion"/>
  </si>
  <si>
    <t>加DC-DC转换器充电</t>
    <phoneticPr fontId="1" type="noConversion"/>
  </si>
  <si>
    <t>时间/min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</si>
</sst>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b/>
      <sz val="11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right"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2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图</a:t>
            </a:r>
            <a:r>
              <a:rPr lang="en-US" altLang="zh-CN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9   </a:t>
            </a: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太阳能电池伏安特性曲线</a:t>
            </a:r>
            <a:r>
              <a:rPr lang="zh-CN" altLang="en-US" sz="14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（</a:t>
            </a:r>
            <a:r>
              <a:rPr lang="en-US" altLang="zh-CN" sz="14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I</a:t>
            </a: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－</a:t>
            </a:r>
            <a:r>
              <a:rPr lang="en-US" altLang="zh-CN" sz="14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V</a:t>
            </a: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曲线</a:t>
            </a:r>
            <a:r>
              <a:rPr lang="zh-CN" altLang="en-US" sz="14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）</a:t>
            </a:r>
            <a:endParaRPr lang="zh-CN" sz="1400">
              <a:latin typeface="楷体_GB2312" panose="02010609030101010101" pitchFamily="49" charset="-122"/>
              <a:ea typeface="楷体_GB2312" panose="02010609030101010101" pitchFamily="49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3276605130241073"/>
          <c:y val="5.5045538662505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7798914841527161"/>
          <c:y val="0.18473456946913894"/>
          <c:w val="0.75316107545380351"/>
          <c:h val="0.6339604726828501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Sheet1!$A$4:$A$19</c:f>
              <c:numCache>
                <c:formatCode>0.00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10.199999999999999</c:v>
                </c:pt>
                <c:pt idx="7">
                  <c:v>10.4</c:v>
                </c:pt>
                <c:pt idx="8">
                  <c:v>10.6</c:v>
                </c:pt>
                <c:pt idx="9">
                  <c:v>10.8</c:v>
                </c:pt>
                <c:pt idx="10">
                  <c:v>11</c:v>
                </c:pt>
                <c:pt idx="11">
                  <c:v>11.2</c:v>
                </c:pt>
                <c:pt idx="12">
                  <c:v>11.4</c:v>
                </c:pt>
                <c:pt idx="13">
                  <c:v>11.6</c:v>
                </c:pt>
                <c:pt idx="14">
                  <c:v>11.8</c:v>
                </c:pt>
                <c:pt idx="15">
                  <c:v>12</c:v>
                </c:pt>
              </c:numCache>
            </c:numRef>
          </c:xVal>
          <c:yVal>
            <c:numRef>
              <c:f>Sheet1!$B$4:$B$19</c:f>
              <c:numCache>
                <c:formatCode>0.0</c:formatCode>
                <c:ptCount val="16"/>
                <c:pt idx="0">
                  <c:v>77.599999999999994</c:v>
                </c:pt>
                <c:pt idx="1">
                  <c:v>77.3</c:v>
                </c:pt>
                <c:pt idx="2">
                  <c:v>77.099999999999994</c:v>
                </c:pt>
                <c:pt idx="3">
                  <c:v>76.400000000000006</c:v>
                </c:pt>
                <c:pt idx="4">
                  <c:v>76</c:v>
                </c:pt>
                <c:pt idx="5">
                  <c:v>72.400000000000006</c:v>
                </c:pt>
                <c:pt idx="6">
                  <c:v>71</c:v>
                </c:pt>
                <c:pt idx="7">
                  <c:v>69.900000000000006</c:v>
                </c:pt>
                <c:pt idx="8">
                  <c:v>68.3</c:v>
                </c:pt>
                <c:pt idx="9">
                  <c:v>65.8</c:v>
                </c:pt>
                <c:pt idx="10">
                  <c:v>63.6</c:v>
                </c:pt>
                <c:pt idx="11">
                  <c:v>61.1</c:v>
                </c:pt>
                <c:pt idx="12">
                  <c:v>58.6</c:v>
                </c:pt>
                <c:pt idx="13">
                  <c:v>55.3</c:v>
                </c:pt>
                <c:pt idx="14">
                  <c:v>51.6</c:v>
                </c:pt>
                <c:pt idx="15">
                  <c:v>47.3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A3-47D1-92A6-74CEE2FAC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302192"/>
        <c:axId val="2021302672"/>
      </c:scatterChart>
      <c:valAx>
        <c:axId val="202130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200" i="0"/>
                  <a:t>电压</a:t>
                </a:r>
                <a:r>
                  <a:rPr lang="en-US" altLang="zh-CN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altLang="zh-CN" sz="1200"/>
                  <a:t> / V</a:t>
                </a:r>
                <a:endParaRPr lang="zh-CN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672"/>
        <c:crosses val="autoZero"/>
        <c:crossBetween val="midCat"/>
        <c:majorUnit val="2"/>
      </c:valAx>
      <c:valAx>
        <c:axId val="20213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200" i="0"/>
                  <a:t>电流</a:t>
                </a:r>
                <a:r>
                  <a:rPr lang="en-US" altLang="zh-CN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  <a:r>
                  <a:rPr lang="en-US" altLang="zh-CN" sz="1200"/>
                  <a:t> / mA</a:t>
                </a:r>
                <a:endParaRPr lang="zh-CN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图</a:t>
            </a:r>
            <a:r>
              <a:rPr lang="en-US" altLang="zh-CN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10   </a:t>
            </a: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太阳能电池功率特性曲线</a:t>
            </a:r>
            <a:r>
              <a:rPr lang="zh-CN" altLang="en-US" sz="14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（</a:t>
            </a:r>
            <a:r>
              <a:rPr lang="en-US" altLang="zh-CN" sz="14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P</a:t>
            </a: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－</a:t>
            </a:r>
            <a:r>
              <a:rPr lang="en-US" altLang="zh-CN" sz="14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V</a:t>
            </a: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曲线</a:t>
            </a:r>
            <a:r>
              <a:rPr lang="zh-CN" altLang="en-US" sz="14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）</a:t>
            </a:r>
            <a:endParaRPr lang="zh-CN" sz="1400">
              <a:latin typeface="楷体_GB2312" panose="02010609030101010101" pitchFamily="49" charset="-122"/>
              <a:ea typeface="楷体_GB2312" panose="02010609030101010101" pitchFamily="49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2436268995787293"/>
          <c:y val="5.88857844382355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9759699155252652"/>
          <c:y val="0.20009551098376308"/>
          <c:w val="0.73355323231654868"/>
          <c:h val="0.6185994895799314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Sheet1!$A$4:$A$19</c:f>
              <c:numCache>
                <c:formatCode>0.00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10.199999999999999</c:v>
                </c:pt>
                <c:pt idx="7">
                  <c:v>10.4</c:v>
                </c:pt>
                <c:pt idx="8">
                  <c:v>10.6</c:v>
                </c:pt>
                <c:pt idx="9">
                  <c:v>10.8</c:v>
                </c:pt>
                <c:pt idx="10">
                  <c:v>11</c:v>
                </c:pt>
                <c:pt idx="11">
                  <c:v>11.2</c:v>
                </c:pt>
                <c:pt idx="12">
                  <c:v>11.4</c:v>
                </c:pt>
                <c:pt idx="13">
                  <c:v>11.6</c:v>
                </c:pt>
                <c:pt idx="14">
                  <c:v>11.8</c:v>
                </c:pt>
                <c:pt idx="15">
                  <c:v>12</c:v>
                </c:pt>
              </c:numCache>
            </c:numRef>
          </c:xVal>
          <c:yVal>
            <c:numRef>
              <c:f>Sheet1!$C$4:$C$19</c:f>
              <c:numCache>
                <c:formatCode>0.0</c:formatCode>
                <c:ptCount val="16"/>
                <c:pt idx="0">
                  <c:v>77.599999999999994</c:v>
                </c:pt>
                <c:pt idx="1">
                  <c:v>154.6</c:v>
                </c:pt>
                <c:pt idx="2">
                  <c:v>308.39999999999998</c:v>
                </c:pt>
                <c:pt idx="3">
                  <c:v>458.40000000000003</c:v>
                </c:pt>
                <c:pt idx="4">
                  <c:v>608</c:v>
                </c:pt>
                <c:pt idx="5">
                  <c:v>724</c:v>
                </c:pt>
                <c:pt idx="6">
                  <c:v>724.19999999999993</c:v>
                </c:pt>
                <c:pt idx="7">
                  <c:v>726.96</c:v>
                </c:pt>
                <c:pt idx="8">
                  <c:v>723.9799999999999</c:v>
                </c:pt>
                <c:pt idx="9">
                  <c:v>710.64</c:v>
                </c:pt>
                <c:pt idx="10">
                  <c:v>699.6</c:v>
                </c:pt>
                <c:pt idx="11">
                  <c:v>684.31999999999994</c:v>
                </c:pt>
                <c:pt idx="12">
                  <c:v>668.04000000000008</c:v>
                </c:pt>
                <c:pt idx="13">
                  <c:v>641.4799999999999</c:v>
                </c:pt>
                <c:pt idx="14">
                  <c:v>608.88000000000011</c:v>
                </c:pt>
                <c:pt idx="15">
                  <c:v>567.59999999999991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97-475B-853F-2294348CF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302192"/>
        <c:axId val="2021302672"/>
      </c:scatterChart>
      <c:valAx>
        <c:axId val="2021302192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200" i="0"/>
                  <a:t>电压</a:t>
                </a:r>
                <a:r>
                  <a:rPr lang="en-US" altLang="zh-CN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altLang="zh-CN" sz="1200"/>
                  <a:t> / V</a:t>
                </a:r>
                <a:endParaRPr lang="zh-CN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672"/>
        <c:crosses val="autoZero"/>
        <c:crossBetween val="midCat"/>
        <c:majorUnit val="2"/>
      </c:valAx>
      <c:valAx>
        <c:axId val="20213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200" i="0"/>
                  <a:t>功率</a:t>
                </a:r>
                <a:r>
                  <a:rPr lang="en-US" altLang="zh-CN" sz="1200" i="1"/>
                  <a:t>P</a:t>
                </a:r>
                <a:r>
                  <a:rPr lang="en-US" altLang="zh-CN" sz="1200"/>
                  <a:t> / mW</a:t>
                </a:r>
                <a:endParaRPr lang="zh-CN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图</a:t>
            </a:r>
            <a:r>
              <a:rPr lang="en-US" altLang="zh-CN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11   </a:t>
            </a: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太阳能电池对超级电容充电曲线</a:t>
            </a:r>
            <a:r>
              <a:rPr lang="zh-CN" altLang="en-US" sz="14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（</a:t>
            </a:r>
            <a:r>
              <a:rPr lang="en-US" altLang="zh-CN" sz="14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P</a:t>
            </a: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－</a:t>
            </a:r>
            <a:r>
              <a:rPr lang="en-US" altLang="zh-CN" sz="14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t</a:t>
            </a:r>
            <a:r>
              <a:rPr lang="zh-CN" altLang="en-US" sz="14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曲线</a:t>
            </a:r>
            <a:r>
              <a:rPr lang="zh-CN" altLang="en-US" sz="14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）</a:t>
            </a:r>
            <a:endParaRPr lang="zh-CN" sz="1400">
              <a:latin typeface="楷体_GB2312" panose="02010609030101010101" pitchFamily="49" charset="-122"/>
              <a:ea typeface="楷体_GB2312" panose="02010609030101010101" pitchFamily="49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2282053226492756"/>
          <c:y val="5.4480904909822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7641410318688644"/>
          <c:y val="0.18778008352404224"/>
          <c:w val="0.7574115914850672"/>
          <c:h val="0.5479622673312624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直接充电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Sheet2!$A$5:$A$14</c:f>
              <c:numCache>
                <c:formatCode>0.0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Sheet2!$D$5:$D$14</c:f>
              <c:numCache>
                <c:formatCode>0.0</c:formatCode>
                <c:ptCount val="10"/>
                <c:pt idx="0">
                  <c:v>101.47300000000001</c:v>
                </c:pt>
                <c:pt idx="1">
                  <c:v>269.62</c:v>
                </c:pt>
                <c:pt idx="2">
                  <c:v>426.096</c:v>
                </c:pt>
                <c:pt idx="3">
                  <c:v>562.12800000000004</c:v>
                </c:pt>
                <c:pt idx="4">
                  <c:v>680.13200000000006</c:v>
                </c:pt>
                <c:pt idx="5">
                  <c:v>714.75199999999995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5F-44D9-9546-B8914595D883}"/>
            </c:ext>
          </c:extLst>
        </c:ser>
        <c:ser>
          <c:idx val="1"/>
          <c:order val="1"/>
          <c:tx>
            <c:strRef>
              <c:f>Sheet2!$E$3</c:f>
              <c:strCache>
                <c:ptCount val="1"/>
                <c:pt idx="0">
                  <c:v>加DC-DC转换器充电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Sheet2!$A$5:$A$14</c:f>
              <c:numCache>
                <c:formatCode>0.0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Sheet2!$G$5:$G$14</c:f>
              <c:numCache>
                <c:formatCode>0.0</c:formatCode>
                <c:ptCount val="10"/>
                <c:pt idx="0">
                  <c:v>389.40000000000003</c:v>
                </c:pt>
                <c:pt idx="1">
                  <c:v>433.23800000000006</c:v>
                </c:pt>
                <c:pt idx="2">
                  <c:v>442.18899999999996</c:v>
                </c:pt>
                <c:pt idx="3">
                  <c:v>448.59000000000003</c:v>
                </c:pt>
                <c:pt idx="4">
                  <c:v>455.43</c:v>
                </c:pt>
                <c:pt idx="5">
                  <c:v>450.14500000000004</c:v>
                </c:pt>
                <c:pt idx="6">
                  <c:v>449.85200000000003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5F-44D9-9546-B8914595D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302192"/>
        <c:axId val="2021302672"/>
      </c:scatterChart>
      <c:valAx>
        <c:axId val="2021302192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200" i="0"/>
                  <a:t>时间</a:t>
                </a:r>
                <a:r>
                  <a:rPr lang="en-US" altLang="zh-CN" sz="1200" i="1"/>
                  <a:t>t</a:t>
                </a:r>
                <a:r>
                  <a:rPr lang="en-US" altLang="zh-CN" sz="1200"/>
                  <a:t> / min</a:t>
                </a:r>
                <a:endParaRPr lang="zh-CN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672"/>
        <c:crosses val="autoZero"/>
        <c:crossBetween val="midCat"/>
      </c:valAx>
      <c:valAx>
        <c:axId val="20213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200" i="0"/>
                  <a:t>功率</a:t>
                </a:r>
                <a:r>
                  <a:rPr lang="en-US" altLang="zh-CN" sz="1200" i="1"/>
                  <a:t>P</a:t>
                </a:r>
                <a:r>
                  <a:rPr lang="en-US" altLang="zh-CN" sz="1200"/>
                  <a:t> / mW</a:t>
                </a:r>
                <a:endParaRPr lang="zh-CN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225379108816562"/>
          <c:y val="0.89379499930929684"/>
          <c:w val="0.55624215451329451"/>
          <c:h val="6.4847756989091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7</xdr:row>
      <xdr:rowOff>106680</xdr:rowOff>
    </xdr:from>
    <xdr:to>
      <xdr:col>12</xdr:col>
      <xdr:colOff>281940</xdr:colOff>
      <xdr:row>25</xdr:row>
      <xdr:rowOff>121920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95AD467-1EF9-4E6D-9421-74814AF69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502920</xdr:colOff>
      <xdr:row>7</xdr:row>
      <xdr:rowOff>99060</xdr:rowOff>
    </xdr:from>
    <xdr:to>
      <xdr:col>20</xdr:col>
      <xdr:colOff>160020</xdr:colOff>
      <xdr:row>25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885D01C-BB9E-4389-925A-2F66326CE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388620</xdr:colOff>
      <xdr:row>3</xdr:row>
      <xdr:rowOff>137160</xdr:rowOff>
    </xdr:from>
    <xdr:to>
      <xdr:col>17</xdr:col>
      <xdr:colOff>213360</xdr:colOff>
      <xdr:row>24</xdr:row>
      <xdr:rowOff>83820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4A468B-4C42-4E02-B797-1EE77EE94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7AD3-609F-461C-8557-9DBE2108989F}">
  <dimension ref="A1:E22"/>
  <sheetViews>
    <sheetView tabSelected="1" zoomScaleNormal="100" workbookViewId="0"/>
  </sheetViews>
  <sheetFormatPr defaultRowHeight="14.4" x14ac:dyDescent="0.25"/>
  <sheetData>
    <row r="1" spans="1:5" x14ac:dyDescent="0.25">
      <c r="A1" t="s">
        <v>0</v>
      </c>
      <c r="B1" t="s">
        <v>1</v>
      </c>
    </row>
    <row r="3" spans="1:5" x14ac:dyDescent="0.25">
      <c r="A3" s="1" t="s">
        <v>3</v>
      </c>
      <c r="B3" s="1" t="s">
        <v>4</v>
      </c>
      <c r="C3" s="1" t="s">
        <v>5</v>
      </c>
    </row>
    <row r="4" spans="1:5" x14ac:dyDescent="0.25">
      <c r="A4" s="9">
        <v>1</v>
      </c>
      <c r="B4" s="4">
        <v>77.599999999999994</v>
      </c>
      <c r="C4" s="3">
        <f>A4*B4</f>
        <v>77.599999999999994</v>
      </c>
    </row>
    <row r="5" spans="1:5" x14ac:dyDescent="0.25">
      <c r="A5" s="9">
        <v>2</v>
      </c>
      <c r="B5" s="4">
        <v>77.3</v>
      </c>
      <c r="C5" s="3">
        <f t="shared" ref="C5:C19" si="0">A5*B5</f>
        <v>154.6</v>
      </c>
      <c r="E5" s="7" t="s">
        <v>2</v>
      </c>
    </row>
    <row r="6" spans="1:5" x14ac:dyDescent="0.25">
      <c r="A6" s="9">
        <v>4</v>
      </c>
      <c r="B6" s="4">
        <v>77.099999999999994</v>
      </c>
      <c r="C6" s="3">
        <f t="shared" si="0"/>
        <v>308.39999999999998</v>
      </c>
    </row>
    <row r="7" spans="1:5" x14ac:dyDescent="0.25">
      <c r="A7" s="9">
        <v>6</v>
      </c>
      <c r="B7" s="4">
        <v>76.400000000000006</v>
      </c>
      <c r="C7" s="3">
        <f t="shared" si="0"/>
        <v>458.40000000000003</v>
      </c>
    </row>
    <row r="8" spans="1:5" x14ac:dyDescent="0.25">
      <c r="A8" s="9">
        <v>8</v>
      </c>
      <c r="B8" s="4">
        <v>76</v>
      </c>
      <c r="C8" s="3">
        <f t="shared" si="0"/>
        <v>608</v>
      </c>
    </row>
    <row r="9" spans="1:5" x14ac:dyDescent="0.25">
      <c r="A9" s="9">
        <v>10</v>
      </c>
      <c r="B9" s="4">
        <v>72.400000000000006</v>
      </c>
      <c r="C9" s="3">
        <f t="shared" si="0"/>
        <v>724</v>
      </c>
    </row>
    <row r="10" spans="1:5" x14ac:dyDescent="0.25">
      <c r="A10" s="9">
        <v>10.199999999999999</v>
      </c>
      <c r="B10" s="4">
        <v>71</v>
      </c>
      <c r="C10" s="3">
        <f t="shared" si="0"/>
        <v>724.19999999999993</v>
      </c>
    </row>
    <row r="11" spans="1:5" x14ac:dyDescent="0.25">
      <c r="A11" s="9">
        <v>10.4</v>
      </c>
      <c r="B11" s="4">
        <v>69.900000000000006</v>
      </c>
      <c r="C11" s="3">
        <f t="shared" si="0"/>
        <v>726.96</v>
      </c>
    </row>
    <row r="12" spans="1:5" x14ac:dyDescent="0.25">
      <c r="A12" s="9">
        <v>10.6</v>
      </c>
      <c r="B12" s="4">
        <v>68.3</v>
      </c>
      <c r="C12" s="3">
        <f t="shared" si="0"/>
        <v>723.9799999999999</v>
      </c>
    </row>
    <row r="13" spans="1:5" x14ac:dyDescent="0.25">
      <c r="A13" s="9">
        <v>10.8</v>
      </c>
      <c r="B13" s="4">
        <v>65.8</v>
      </c>
      <c r="C13" s="3">
        <f t="shared" si="0"/>
        <v>710.64</v>
      </c>
    </row>
    <row r="14" spans="1:5" x14ac:dyDescent="0.25">
      <c r="A14" s="9">
        <v>11</v>
      </c>
      <c r="B14" s="4">
        <v>63.6</v>
      </c>
      <c r="C14" s="3">
        <f t="shared" si="0"/>
        <v>699.6</v>
      </c>
    </row>
    <row r="15" spans="1:5" x14ac:dyDescent="0.25">
      <c r="A15" s="9">
        <v>11.2</v>
      </c>
      <c r="B15" s="4">
        <v>61.1</v>
      </c>
      <c r="C15" s="3">
        <f t="shared" si="0"/>
        <v>684.31999999999994</v>
      </c>
    </row>
    <row r="16" spans="1:5" x14ac:dyDescent="0.25">
      <c r="A16" s="9">
        <v>11.4</v>
      </c>
      <c r="B16" s="4">
        <v>58.6</v>
      </c>
      <c r="C16" s="3">
        <f t="shared" si="0"/>
        <v>668.04000000000008</v>
      </c>
    </row>
    <row r="17" spans="1:3" x14ac:dyDescent="0.25">
      <c r="A17" s="9">
        <v>11.6</v>
      </c>
      <c r="B17" s="4">
        <v>55.3</v>
      </c>
      <c r="C17" s="3">
        <f t="shared" si="0"/>
        <v>641.4799999999999</v>
      </c>
    </row>
    <row r="18" spans="1:3" x14ac:dyDescent="0.25">
      <c r="A18" s="9">
        <v>11.8</v>
      </c>
      <c r="B18" s="4">
        <v>51.6</v>
      </c>
      <c r="C18" s="3">
        <f t="shared" si="0"/>
        <v>608.88000000000011</v>
      </c>
    </row>
    <row r="19" spans="1:3" x14ac:dyDescent="0.25">
      <c r="A19" s="9">
        <v>12</v>
      </c>
      <c r="B19" s="4">
        <v>47.3</v>
      </c>
      <c r="C19" s="3">
        <f t="shared" si="0"/>
        <v>567.59999999999991</v>
      </c>
    </row>
    <row r="22" spans="1:3" x14ac:dyDescent="0.25">
      <c r="A22" s="5"/>
      <c r="B22" s="6" t="s">
        <v>6</v>
      </c>
      <c r="C22" s="3">
        <f>MAX(C4:C19)</f>
        <v>726.96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BED2-CA5E-4FB8-A891-90190AAD68C6}">
  <dimension ref="A1:G14"/>
  <sheetViews>
    <sheetView workbookViewId="0">
      <selection activeCell="B14" sqref="B14"/>
    </sheetView>
  </sheetViews>
  <sheetFormatPr defaultRowHeight="14.4" x14ac:dyDescent="0.25"/>
  <cols>
    <col min="1" max="1" width="10.5546875" customWidth="1"/>
  </cols>
  <sheetData>
    <row r="1" spans="1:7" x14ac:dyDescent="0.25">
      <c r="A1" t="s">
        <v>7</v>
      </c>
    </row>
    <row r="3" spans="1:7" x14ac:dyDescent="0.25">
      <c r="A3" s="11" t="s">
        <v>10</v>
      </c>
      <c r="B3" s="11" t="s">
        <v>8</v>
      </c>
      <c r="C3" s="11"/>
      <c r="D3" s="11"/>
      <c r="E3" s="11" t="s">
        <v>9</v>
      </c>
      <c r="F3" s="11"/>
      <c r="G3" s="11"/>
    </row>
    <row r="4" spans="1:7" x14ac:dyDescent="0.25">
      <c r="A4" s="11"/>
      <c r="B4" s="1" t="s">
        <v>3</v>
      </c>
      <c r="C4" s="1" t="s">
        <v>4</v>
      </c>
      <c r="D4" s="1" t="s">
        <v>5</v>
      </c>
      <c r="E4" s="1" t="s">
        <v>3</v>
      </c>
      <c r="F4" s="1" t="s">
        <v>4</v>
      </c>
      <c r="G4" s="1" t="s">
        <v>5</v>
      </c>
    </row>
    <row r="5" spans="1:7" x14ac:dyDescent="0.25">
      <c r="A5" s="2">
        <v>0</v>
      </c>
      <c r="B5" s="9">
        <v>1.27</v>
      </c>
      <c r="C5" s="4">
        <v>79.900000000000006</v>
      </c>
      <c r="D5" s="3">
        <f>B5*C5</f>
        <v>101.47300000000001</v>
      </c>
      <c r="E5" s="9">
        <v>2.2000000000000002</v>
      </c>
      <c r="F5" s="4">
        <v>177</v>
      </c>
      <c r="G5" s="3">
        <f>E5*F5</f>
        <v>389.40000000000003</v>
      </c>
    </row>
    <row r="6" spans="1:7" x14ac:dyDescent="0.25">
      <c r="A6" s="2">
        <v>1</v>
      </c>
      <c r="B6" s="9">
        <v>3.4</v>
      </c>
      <c r="C6" s="4">
        <v>79.3</v>
      </c>
      <c r="D6" s="3">
        <f t="shared" ref="D6:D10" si="0">B6*C6</f>
        <v>269.62</v>
      </c>
      <c r="E6" s="9">
        <v>4.9400000000000004</v>
      </c>
      <c r="F6" s="4">
        <v>87.7</v>
      </c>
      <c r="G6" s="3">
        <f t="shared" ref="G6:G11" si="1">E6*F6</f>
        <v>433.23800000000006</v>
      </c>
    </row>
    <row r="7" spans="1:7" x14ac:dyDescent="0.25">
      <c r="A7" s="2">
        <v>2</v>
      </c>
      <c r="B7" s="9">
        <v>5.38</v>
      </c>
      <c r="C7" s="4">
        <v>79.2</v>
      </c>
      <c r="D7" s="3">
        <f t="shared" si="0"/>
        <v>426.096</v>
      </c>
      <c r="E7" s="9">
        <v>6.59</v>
      </c>
      <c r="F7" s="4">
        <v>67.099999999999994</v>
      </c>
      <c r="G7" s="3">
        <f t="shared" si="1"/>
        <v>442.18899999999996</v>
      </c>
    </row>
    <row r="8" spans="1:7" x14ac:dyDescent="0.25">
      <c r="A8" s="2">
        <v>3</v>
      </c>
      <c r="B8" s="9">
        <v>7.17</v>
      </c>
      <c r="C8" s="4">
        <v>78.400000000000006</v>
      </c>
      <c r="D8" s="3">
        <f t="shared" si="0"/>
        <v>562.12800000000004</v>
      </c>
      <c r="E8" s="9">
        <v>7.87</v>
      </c>
      <c r="F8" s="4">
        <v>57</v>
      </c>
      <c r="G8" s="3">
        <f t="shared" si="1"/>
        <v>448.59000000000003</v>
      </c>
    </row>
    <row r="9" spans="1:7" x14ac:dyDescent="0.25">
      <c r="A9" s="2">
        <v>4</v>
      </c>
      <c r="B9" s="9">
        <v>8.81</v>
      </c>
      <c r="C9" s="4">
        <v>77.2</v>
      </c>
      <c r="D9" s="3">
        <f t="shared" si="0"/>
        <v>680.13200000000006</v>
      </c>
      <c r="E9" s="9">
        <v>8.93</v>
      </c>
      <c r="F9" s="4">
        <v>51</v>
      </c>
      <c r="G9" s="3">
        <f t="shared" si="1"/>
        <v>455.43</v>
      </c>
    </row>
    <row r="10" spans="1:7" x14ac:dyDescent="0.25">
      <c r="A10" s="2">
        <v>5</v>
      </c>
      <c r="B10" s="9">
        <v>10.24</v>
      </c>
      <c r="C10" s="4">
        <v>69.8</v>
      </c>
      <c r="D10" s="3">
        <f t="shared" si="0"/>
        <v>714.75199999999995</v>
      </c>
      <c r="E10" s="9">
        <v>9.85</v>
      </c>
      <c r="F10" s="4">
        <v>45.7</v>
      </c>
      <c r="G10" s="3">
        <f t="shared" si="1"/>
        <v>450.14500000000004</v>
      </c>
    </row>
    <row r="11" spans="1:7" x14ac:dyDescent="0.25">
      <c r="A11" s="2">
        <v>6</v>
      </c>
      <c r="B11" s="9"/>
      <c r="C11" s="4"/>
      <c r="D11" s="3"/>
      <c r="E11" s="9">
        <v>10.66</v>
      </c>
      <c r="F11" s="4">
        <v>42.2</v>
      </c>
      <c r="G11" s="3">
        <f t="shared" si="1"/>
        <v>449.85200000000003</v>
      </c>
    </row>
    <row r="12" spans="1:7" x14ac:dyDescent="0.25">
      <c r="A12" s="2">
        <v>7</v>
      </c>
      <c r="B12" s="9"/>
      <c r="C12" s="4"/>
      <c r="D12" s="3"/>
      <c r="E12" s="10"/>
      <c r="F12" s="10"/>
      <c r="G12" s="8"/>
    </row>
    <row r="13" spans="1:7" x14ac:dyDescent="0.25">
      <c r="A13" s="2">
        <v>8</v>
      </c>
      <c r="B13" s="9"/>
      <c r="C13" s="4"/>
      <c r="D13" s="3"/>
      <c r="E13" s="10"/>
      <c r="F13" s="10"/>
      <c r="G13" s="8"/>
    </row>
    <row r="14" spans="1:7" x14ac:dyDescent="0.25">
      <c r="A14" s="2">
        <v>9</v>
      </c>
      <c r="B14" s="9"/>
      <c r="C14" s="4"/>
      <c r="D14" s="3"/>
      <c r="E14" s="10"/>
      <c r="F14" s="10"/>
      <c r="G14" s="8"/>
    </row>
  </sheetData>
  <mergeCells count="3">
    <mergeCell ref="E3:G3"/>
    <mergeCell ref="B3:D3"/>
    <mergeCell ref="A3:A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momooo</dc:creator>
  <cp:lastModifiedBy>Administrator momooo</cp:lastModifiedBy>
  <dcterms:created xsi:type="dcterms:W3CDTF">2025-12-26T06:15:26Z</dcterms:created>
  <dcterms:modified xsi:type="dcterms:W3CDTF">2025-12-27T04:31:54Z</dcterms:modified>
</cp:coreProperties>
</file>